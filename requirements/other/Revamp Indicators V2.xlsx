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danielmaangi/Desktop/apeiro/shiny-mockups/requirements/other/"/>
    </mc:Choice>
  </mc:AlternateContent>
  <xr:revisionPtr revIDLastSave="0" documentId="8_{E3A98D87-B753-6E4E-98C9-00234408B8E5}" xr6:coauthVersionLast="47" xr6:coauthVersionMax="47" xr10:uidLastSave="{00000000-0000-0000-0000-000000000000}"/>
  <bookViews>
    <workbookView xWindow="0" yWindow="580" windowWidth="29920" windowHeight="18760" tabRatio="500" xr2:uid="{00000000-000D-0000-FFFF-FFFF00000000}"/>
  </bookViews>
  <sheets>
    <sheet name="PHC" sheetId="6" r:id="rId1"/>
    <sheet name="Cover" sheetId="1" r:id="rId2"/>
    <sheet name="Data Request Tracker" sheetId="2" r:id="rId3"/>
    <sheet name="Schedule 1 - Informal Sector" sheetId="3" r:id="rId4"/>
    <sheet name="Schedule 1 - Formal Sector" sheetId="4" r:id="rId5"/>
    <sheet name="Monthly Contributions vs Claim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7" i="5" l="1"/>
  <c r="K8" i="5"/>
  <c r="K9" i="5"/>
  <c r="K10" i="5"/>
  <c r="K11" i="5"/>
  <c r="K12" i="5"/>
  <c r="K13" i="5"/>
  <c r="K14" i="5"/>
  <c r="K15" i="5"/>
  <c r="K16" i="5"/>
  <c r="K17" i="5"/>
  <c r="K18" i="5"/>
  <c r="K19" i="5"/>
  <c r="K20" i="5"/>
  <c r="K21" i="5"/>
  <c r="K22" i="5"/>
  <c r="K23" i="5"/>
  <c r="K24" i="5"/>
  <c r="K25" i="5"/>
  <c r="K26" i="5"/>
  <c r="K6" i="5"/>
  <c r="I27" i="5"/>
  <c r="H27" i="5"/>
  <c r="G27" i="5"/>
  <c r="E27" i="5"/>
  <c r="D27" i="5"/>
  <c r="C27" i="5"/>
  <c r="F15" i="4"/>
  <c r="E15" i="4"/>
  <c r="D15" i="4"/>
  <c r="C15" i="4"/>
  <c r="B15" i="4"/>
  <c r="G15" i="4" s="1"/>
  <c r="G14" i="4"/>
  <c r="G13" i="4"/>
  <c r="G12" i="4"/>
  <c r="G11" i="4"/>
  <c r="G10" i="4"/>
  <c r="G9" i="4"/>
  <c r="G8" i="4"/>
  <c r="G7" i="4"/>
  <c r="G6" i="4"/>
  <c r="G5" i="4"/>
  <c r="F15" i="3"/>
  <c r="E15" i="3"/>
  <c r="D15" i="3"/>
  <c r="C15" i="3"/>
  <c r="B15" i="3"/>
  <c r="G15" i="3" s="1"/>
  <c r="G14" i="3"/>
  <c r="G13" i="3"/>
  <c r="G12" i="3"/>
  <c r="G11" i="3"/>
  <c r="G10" i="3"/>
  <c r="G9" i="3"/>
  <c r="G8" i="3"/>
  <c r="G7" i="3"/>
  <c r="G6" i="3"/>
  <c r="G5" i="3"/>
</calcChain>
</file>

<file path=xl/sharedStrings.xml><?xml version="1.0" encoding="utf-8"?>
<sst xmlns="http://schemas.openxmlformats.org/spreadsheetml/2006/main" count="248" uniqueCount="182">
  <si>
    <t>SHA Plus Data Request — Tracking Template</t>
  </si>
  <si>
    <t>Minet Kenya / Transnep Insurance Brokers</t>
  </si>
  <si>
    <t>Field</t>
  </si>
  <si>
    <t>Detail</t>
  </si>
  <si>
    <t>Requesting entity</t>
  </si>
  <si>
    <t>Minet Kenya, in partnership with Transnep Insurance Brokers Limited</t>
  </si>
  <si>
    <t>Signatory</t>
  </si>
  <si>
    <t>Gideon Bii, Deputy Director Commercial, Minet Kenya</t>
  </si>
  <si>
    <t>Addressed to</t>
  </si>
  <si>
    <t>CEO, Social Health Authority (Attn: Deputy Director, Benefits)</t>
  </si>
  <si>
    <t>Date of request</t>
  </si>
  <si>
    <t>25 June 2026</t>
  </si>
  <si>
    <t>Purpose</t>
  </si>
  <si>
    <t>Development of the 'SHA Plus' top-up product for a market segment above SHA cover but underserved by traditional PMI pricing</t>
  </si>
  <si>
    <t>Requested analysis period</t>
  </si>
  <si>
    <t>Last 12–24 months (Schedule 1 specifically covers 1 Jan–31 Dec 2025)</t>
  </si>
  <si>
    <t>PII position</t>
  </si>
  <si>
    <t>No personally identifiable beneficiary information requested — aggregated/anonymised data only</t>
  </si>
  <si>
    <t>Stated use of data</t>
  </si>
  <si>
    <t>Product pricing, reimbursement benchmarking, provider network design, purchasing decisions</t>
  </si>
  <si>
    <t>How to use this workbook</t>
  </si>
  <si>
    <t>• 'Data Request Tracker' sheet lists every data point requested by Minet, organised by category (1–5), with columns to record SHA's decision, rationale, and any conditions.</t>
  </si>
  <si>
    <t>• 'Schedule 1 - Informal Sector' and 'Schedule 1 - Formal Sector' reproduce the annexed schedule exactly as tabled, with blue input cells for SHA to populate and automatic subtotal formulas.</t>
  </si>
  <si>
    <t>• Use the Decision column (Approve / Approve with conditions / Decline / Pending) drop-down on the Tracker sheet to record SHA's position on each line item.</t>
  </si>
  <si>
    <t>SHA Plus — Data Request Tracker</t>
  </si>
  <si>
    <t>Complete list of data points requested by Minet Kenya</t>
  </si>
  <si>
    <t>#</t>
  </si>
  <si>
    <t>Category</t>
  </si>
  <si>
    <t>Specific Data Point Requested</t>
  </si>
  <si>
    <t>Notes</t>
  </si>
  <si>
    <t>Decision
(Approve / Approve with conditions / Decline / Pending)</t>
  </si>
  <si>
    <t>Rationale / Conditions</t>
  </si>
  <si>
    <t>Owner</t>
  </si>
  <si>
    <t>Status</t>
  </si>
  <si>
    <t>1. Aggregated utilisation data by facility and service category</t>
  </si>
  <si>
    <t>Top facilities by region — medical cases and admissions</t>
  </si>
  <si>
    <t>Region-County,Add Maternity,</t>
  </si>
  <si>
    <t>Approve</t>
  </si>
  <si>
    <t>Dawe</t>
  </si>
  <si>
    <t>Done</t>
  </si>
  <si>
    <t>Top facilities by region — surgical cases and admissions</t>
  </si>
  <si>
    <t>Top facilities by volume,by amount,</t>
  </si>
  <si>
    <t>Facility-level volumes for specialised services (dialysis, advanced imaging, oncology)</t>
  </si>
  <si>
    <t>Breakdown by service category (inpatient medical, inpatient surgical, dialysis, imaging, chemotherapy, radiotherapy, related specialised services)</t>
  </si>
  <si>
    <t>2. Aggregated cost data by facility and service category</t>
  </si>
  <si>
    <t>Average cost per case/episode — common medical services, by facility and region</t>
  </si>
  <si>
    <t>Tariff? Per visit line</t>
  </si>
  <si>
    <t>Approve with conditions</t>
  </si>
  <si>
    <t>Average cost per case/episode — common surgical services, by facility and region</t>
  </si>
  <si>
    <t>Average cost per dialysis session, by facility</t>
  </si>
  <si>
    <t>Tariff</t>
  </si>
  <si>
    <t>Average cost for key imaging categories, by facility</t>
  </si>
  <si>
    <t>Average cost per oncology treatment episode, where feasible</t>
  </si>
  <si>
    <t>Average per member-Pseudoan</t>
  </si>
  <si>
    <t>Data subject rights</t>
  </si>
  <si>
    <t>3. Sample anonymised claims data</t>
  </si>
  <si>
    <t>Diagnosis/procedure mix, service category, facility, region, claim value (limited sample)</t>
  </si>
  <si>
    <t>FHIR standard</t>
  </si>
  <si>
    <t>Pending</t>
  </si>
  <si>
    <t>Claim bundle from FHIR</t>
  </si>
  <si>
    <t>DHA Concurrence</t>
  </si>
  <si>
    <t>Claim-level fields: service month, facility identifier/name, facility type, region, service category, diagnosis/procedure grouping, claim amount, claim outcome/status</t>
  </si>
  <si>
    <t>No PII required</t>
  </si>
  <si>
    <t>4. Provider performance indicators (if available)</t>
  </si>
  <si>
    <t>Claims acceptance, adjustment, or rejection trends by facility</t>
  </si>
  <si>
    <t>Indicative case complexity or referral relevance</t>
  </si>
  <si>
    <t>Consistency of claims submission and other suitability indicators</t>
  </si>
  <si>
    <t>5. Aggregated active membership and claims data (Schedule 1)</t>
  </si>
  <si>
    <t>Informal Sector membership/claims data by age band, 1 Jan–31 Dec 2025</t>
  </si>
  <si>
    <t>Formal Sector</t>
  </si>
  <si>
    <t>Formal Sector membership/claims data by age band, 1 Jan–31 Dec 2025</t>
  </si>
  <si>
    <t>Informal Sector</t>
  </si>
  <si>
    <t>Schedule 1: Aggregated Active Membership and Claims Data</t>
  </si>
  <si>
    <t>Age Band</t>
  </si>
  <si>
    <t>No. of Contributors</t>
  </si>
  <si>
    <t>Total Contributions (KES)</t>
  </si>
  <si>
    <t>No. of Dependants</t>
  </si>
  <si>
    <t>No. of Claims</t>
  </si>
  <si>
    <t>Total Amount Claimed (KES)</t>
  </si>
  <si>
    <t>Avg. Claim per Contributor (KES)</t>
  </si>
  <si>
    <t>18-25</t>
  </si>
  <si>
    <t>26-30</t>
  </si>
  <si>
    <t>31-35</t>
  </si>
  <si>
    <t>36-40</t>
  </si>
  <si>
    <t>41-45</t>
  </si>
  <si>
    <t>46-50</t>
  </si>
  <si>
    <t>51-55</t>
  </si>
  <si>
    <t>56-60</t>
  </si>
  <si>
    <t>61-65</t>
  </si>
  <si>
    <t>&gt;65</t>
  </si>
  <si>
    <t>TOTAL</t>
  </si>
  <si>
    <t>Methodology &amp; notes</t>
  </si>
  <si>
    <t>Source: member_contribution_combined.csv (contributors, contributions), household_dependent_combined.csv (dependants), 230626_util.csv (claims), joined on cr_id.</t>
  </si>
  <si>
    <t>Period: contributions by contribution_period, claims by admission_date - both 1 Jan to 31 Dec 2025. Sector from member_type; age band = contributor age as at 31 Dec 2025.</t>
  </si>
  <si>
    <t>Total Amount Claimed (col F) = aggregate of SHIF FUND + ECCIF FUND. No. of Claims = claims admitted in 2025 for the cohort (all stages).</t>
  </si>
  <si>
    <t>Dependants attributed to the principal contributor's cohort via household_number.</t>
  </si>
  <si>
    <t>Age not captured below: contributors whose DOB is blank in the source (cannot be age-banded). These are EXCLUDED from the bands and TOTAL above:</t>
  </si>
  <si>
    <t>Age not captured</t>
  </si>
  <si>
    <t>Monthly Contributions vs Claims</t>
  </si>
  <si>
    <t>Oct 2024 to Jun 2026 (to date)  |  Claims counted by admission_date; amount = SHIF FUND + ECCIF FUND  |  files joined on cr_id</t>
  </si>
  <si>
    <t>Month</t>
  </si>
  <si>
    <t>FORMAL SECTOR</t>
  </si>
  <si>
    <t>INFORMAL SECTOR</t>
  </si>
  <si>
    <t>No. of CRs</t>
  </si>
  <si>
    <t>Contributions (KES)</t>
  </si>
  <si>
    <t>Claim Amount (KES)</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</si>
  <si>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</si>
  <si>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</si>
  <si>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</si>
  <si>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</si>
  <si>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</si>
  <si>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</si>
  <si>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</si>
  <si>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</si>
  <si>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</si>
  <si>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</si>
  <si>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</si>
  <si>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</si>
  <si>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</si>
  <si>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</si>
  <si>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</si>
  <si>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</si>
  <si>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</si>
  <si>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</si>
  <si>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</si>
  <si>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</si>
  <si>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</si>
  <si>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t>
  </si>
  <si>
    <t xml:space="preserve">      Formal: 5,047,718          Informal: 3,526,166</t>
  </si>
  <si>
    <t>• No. of CRs = distinct contributors who made a contribution in that month (contribution side). Not additive across months, so no TOTAL is shown.</t>
  </si>
  <si>
    <t>• Contributions = sum of contribution_amount for the month; sector from member_type. Sponsor members excluded.</t>
  </si>
  <si>
    <t>• No. of Claims / Claim Amount = util records bucketed by admission_date month. Claim sector by matching cr_id to a contributor (member_contribution) OR a dependant (household_dependent -&gt; principal), across all contribution periods. Amount = SHIF FUND + ECCIF FUND.</t>
  </si>
  <si>
    <t>• Claims counted by admission_date (earliest admissions Oct 2024). Admissions and contribution periods after Jun 2026 (incl. prepaid/future coverage) are excluded (to date).</t>
  </si>
  <si>
    <t>• The most recent month(s) of contributions may be partial as collections are still being posted (notably Formal, Jun 2026).</t>
  </si>
  <si>
    <t>UHC TaifaCare Dashboard — Indicator Dictionary: Primary Health Care (PHC) Claims &amp; Allocation</t>
  </si>
  <si>
    <t>Source: Primary Health Care Claims and Allocation Analysis — Standard table templates, Digital Health Agency</t>
  </si>
  <si>
    <t>No.</t>
  </si>
  <si>
    <t>Indicator</t>
  </si>
  <si>
    <t>Description (incl. rationale)</t>
  </si>
  <si>
    <t>Calculation logic</t>
  </si>
  <si>
    <t>Total PHC amount</t>
  </si>
  <si>
    <t>Headline indicator showing the overall financial volume of the PHC batch for the reporting period. It is the top-line reconciliation figure that Table 1, Table 2 and Table 3 must all sum back to.</t>
  </si>
  <si>
    <t>SUM of the claimed/allocated amount for all PHC transactions in the reporting period (start date to end date), expressed in KES '000.</t>
  </si>
  <si>
    <t>Transacting facilities</t>
  </si>
  <si>
    <t>Headline indicator of how many facilities are actively billing under PHC. Distinguishes genuine activity from the larger population of contracted or licensed facilities, and signals coverage/utilisation of the benefit.</t>
  </si>
  <si>
    <t>COUNT of DISTINCT facility IDs with at least one claim in the reporting period (not the number of contracted or licensed facilities).</t>
  </si>
  <si>
    <t>Claims</t>
  </si>
  <si>
    <t>Core volume indicator: the number of claim transactions submitted under PHC. Appears at headline level and disaggregated in Table 1 (level/ownership), Table 2 (county) and Tables 5–8 (diagnosis/intervention). Basis for amount-per-claim and claims-per-member.</t>
  </si>
  <si>
    <t>COUNT of claim records for the period, optionally filtered/grouped by facility level &amp; ownership, county, diagnosis code or intervention code depending on the table.</t>
  </si>
  <si>
    <t>Unique members</t>
  </si>
  <si>
    <t>Distinct beneficiaries who used the PHC benefit at least once. Drives utilisation-intensity measures (visit frequency, claims per member). Appears at headline level and in Table 2, and Tables 5–8.</t>
  </si>
  <si>
    <t>COUNT of DISTINCT beneficiary identifiers with ≥1 claim in the period (or with ≥1 claim carrying a given diagnosis/intervention code). Note: a member claiming in two counties is counted once per county and once nationally, so county figures do not sum to the national total.</t>
  </si>
  <si>
    <t>Visit frequency</t>
  </si>
  <si>
    <t>Headline utilisation-intensity indicator showing the average number of visits a member makes per month. Highlights whether members are using PHC appropriately — too low can signal access barriers, too high can signal overuse.</t>
  </si>
  <si>
    <t>Claims ÷ Unique members ÷ number of months in the reporting period. State the denominator months on the card whenever the period is not a full year.</t>
  </si>
  <si>
    <t>Facilities (by level &amp; ownership / county)</t>
  </si>
  <si>
    <t>Disaggregates the transacting-facilities count by facility level (Level 2–6, plus not classified) and ownership (Public, FBO, Private, NGO, not stated) in Table 1, and by county in Table 2. Reveals where PHC activity is structurally concentrated, e.g. by facility tier or geography.</t>
  </si>
  <si>
    <t>COUNT of DISTINCT facilities with ≥1 claim, grouped by level + ownership (Table 1) or by county (Table 2). Column % = group count ÷ national total facilities, to 1 decimal place. Records with missing level/ownership/county are retained under an explicit 'not stated' category rather than dropped.</t>
  </si>
  <si>
    <t>Total amount (by level/ownership, county, or county × level)</t>
  </si>
  <si>
    <t>Financial disaggregation of the headline Total PHC amount: by facility level &amp; ownership (Table 1), by county (Table 2), and cross-tabulated by county &amp; level (Table 3). Used to assess where PHC spend is concentrated and to check equity of resource distribution across the system.</t>
  </si>
  <si>
    <t>SUM of claimed amount (KES '000) grouped by the relevant dimension(s). Column % = group amount ÷ national total amount, to 1 decimal place. In Table 3, each county row must sum to its Total column, and the Total column must sum to the national row.</t>
  </si>
  <si>
    <t>Amount per claim</t>
  </si>
  <si>
    <t>Unit-cost indicator showing the average claim value within each group. Useful for spotting cost outliers by facility level/ownership (Table 1) or by county (Table 2).</t>
  </si>
  <si>
    <t>Total amount (KES) ÷ Claims, computed within the same row/group.</t>
  </si>
  <si>
    <t>Share of amount</t>
  </si>
  <si>
    <t>Shows each county's proportion of total national PHC spend — i.e. its relative share of resource allocation.</t>
  </si>
  <si>
    <t>County total amount ÷ national total amount × 100, to 1 decimal place.</t>
  </si>
  <si>
    <t>Monthly allocation amount (by facility, month &amp; payment status)</t>
  </si>
  <si>
    <t>Table 4 tracks how PHC funds are actually disbursed to each facility across a rolling 12-month window, split by payment status. It sits on a different base to Tables 1–3 (month of allocation, not month of service), so it monitors the payment pipeline rather than clinical activity — this distinction must be stated in the caption whenever both appear in the same report.</t>
  </si>
  <si>
    <t>SUM of allocated amount (KES '000) per facility, grouped by month of allocation (Jul–Jun) and payment status (Paid / Not paid). The 'All' row = Paid + Not paid for that facility/month; the Total column = sum across the 12 months.</t>
  </si>
  <si>
    <t>Payment status</t>
  </si>
  <si>
    <t>A point-in-time classification of whether an allocation has been settled, used to monitor disbursement performance and flag payment backlogs. Because it is a snapshot, the extraction date must always accompany it.</t>
  </si>
  <si>
    <t>Categorical value taken from the payment system as at the extraction date: 'Paid' = allocation settled; 'Not paid' = approved but not yet settled; 'All' = the facility/month total across both statuses.</t>
  </si>
  <si>
    <t>Diagnosis rank (Top 20 ICD-11 diagnoses)</t>
  </si>
  <si>
    <t>Identifies the leading causes of PHC utilisation nationally (Table 5), by county (Table 6) and by facility (Table 7), to inform clinical planning, commodity forecasting and supervision priorities.</t>
  </si>
  <si>
    <t>RANK primary ICD-11 stem-coded diagnoses in descending order of claim count within the relevant scope (national / county / facility); secondary diagnoses and claims with missing/invalid codes are excluded from the ranking. 'Top 20 subtotal' and 'All diagnoses' rows show how much of total volume the ranked list covers.</t>
  </si>
  <si>
    <t>Claims per member (diagnosis / intervention frequency)</t>
  </si>
  <si>
    <t>Measures how often, on average, a member with a given diagnosis or intervention returns to claim for it — distinguishing high-prevalence/low-repeat conditions from low-prevalence/high-repeat ones. Reported throughout Tables 5–8 alongside the share-of-claims %; use one consistently rather than switching between them in narrative.</t>
  </si>
  <si>
    <t>Claims carrying that diagnosis/intervention code ÷ Unique members with that code (reported as the mean).</t>
  </si>
  <si>
    <t>Intervention rank (Top 20 interventions)</t>
  </si>
  <si>
    <t>Table 8 identifies the most frequently delivered interventions nationally, to guide benefit-package review and cost/volume planning. Deliberately a volume-only table (no amount column) so it is not misread as a cost-driver ranking — a separate table ranked by amount should be produced if cost ranking is needed.</t>
  </si>
  <si>
    <t>RANK interventions in descending order of claim-linked intervention records. A claim can carry more than one intervention, so each is counted once per claim — intervention counts can exceed total claims, and the % denominator is the total intervention-record count, not the claim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</si>
</sst>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1"/>
    </font>
    <font>
      <b/>
      <sz val="16"/>
      <color rgb="FF1F3864"/>
      <name val="Arial"/>
      <family val="2"/>
    </font>
    <font>
      <i/>
      <sz val="10"/>
      <color rgb="FF404040"/>
      <name val="Arial"/>
      <family val="2"/>
    </font>
    <font>
      <b/>
      <sz val="11"/>
      <color rgb="FF1F3864"/>
      <name val="Arial"/>
      <family val="2"/>
    </font>
    <font>
      <b/>
      <sz val="10"/>
      <name val="Arial"/>
      <family val="2"/>
    </font>
    <font>
      <sz val="10"/>
      <name val="Arial"/>
      <family val="2"/>
    </font>
    <font>
      <sz val="10"/>
      <color rgb="FFFF0000"/>
      <name val="Arial"/>
      <family val="2"/>
      <charset val="1"/>
    </font>
    <font>
      <b/>
      <sz val="11"/>
      <color rgb="FFFFFFFF"/>
      <name val="Arial"/>
      <family val="2"/>
    </font>
    <font>
      <b/>
      <sz val="10"/>
      <color rgb="FF1F3864"/>
      <name val="Arial"/>
      <family val="2"/>
    </font>
    <font>
      <sz val="10"/>
      <color rgb="FF0000FF"/>
      <name val="Arial"/>
      <family val="2"/>
    </font>
    <font>
      <sz val="10"/>
      <name val="Arial"/>
      <family val="2"/>
      <charset val="1"/>
    </font>
    <font>
      <u/>
      <sz val="11"/>
      <color theme="10"/>
      <name val="Calibri"/>
      <family val="2"/>
      <charset val="1"/>
    </font>
    <font>
      <sz val="10"/>
      <color rgb="FF000000"/>
      <name val="Arial"/>
      <family val="2"/>
    </font>
    <font>
      <b/>
      <sz val="10"/>
      <color rgb="FFFFFFFF"/>
      <name val="Arial"/>
      <family val="2"/>
    </font>
    <font>
      <b/>
      <sz val="10"/>
      <color rgb="FF000000"/>
      <name val="Calibri"/>
      <family val="2"/>
    </font>
    <font>
      <i/>
      <sz val="9"/>
      <color rgb="FF595959"/>
      <name val="Calibri"/>
      <family val="2"/>
    </font>
    <font>
      <sz val="10"/>
      <color rgb="FF404040"/>
      <name val="Arial"/>
      <family val="2"/>
    </font>
    <font>
      <b/>
      <sz val="11"/>
      <name val="Arial"/>
      <family val="2"/>
    </font>
    <font>
      <b/>
      <sz val="9"/>
      <color rgb="FF1F3864"/>
      <name val="Arial"/>
      <family val="2"/>
    </font>
    <font>
      <i/>
      <sz val="9"/>
      <color rgb="FF404040"/>
      <name val="Arial"/>
      <family val="2"/>
    </font>
    <font>
      <b/>
      <sz val="14"/>
      <color rgb="FF1F4E78"/>
      <name val="Arial"/>
      <family val="2"/>
    </font>
    <font>
      <i/>
      <sz val="10"/>
      <color rgb="FF595959"/>
      <name val="Arial"/>
      <family val="2"/>
    </font>
  </fonts>
  <fills count="7">
    <fill>
      <patternFill patternType="none"/>
    </fill>
    <fill>
      <patternFill patternType="gray125"/>
    </fill>
    <fill>
      <patternFill patternType="solid">
        <fgColor rgb="FFD9E2F3"/>
        <bgColor rgb="FFD9E1F2"/>
      </patternFill>
    </fill>
    <fill>
      <patternFill patternType="solid">
        <fgColor rgb="FF1F3864"/>
        <bgColor rgb="FF404040"/>
      </patternFill>
    </fill>
    <fill>
      <patternFill patternType="solid">
        <fgColor rgb="FF2E5496"/>
        <bgColor rgb="FF1F3864"/>
      </patternFill>
    </fill>
    <fill>
      <patternFill patternType="solid">
        <fgColor rgb="FFD9E1F2"/>
        <bgColor rgb="FFD9E2F3"/>
      </patternFill>
    </fill>
    <fill>
      <patternFill patternType="solid">
        <fgColor rgb="FF1F4E78"/>
        <b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5">
    <xf numFmtId="0" fontId="0" fillId="0" borderId="0" xfId="0"/>
    <xf numFmtId="0" fontId="3" fillId="2" borderId="1" xfId="0" applyFont="1" applyFill="1" applyBorder="1"/>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3" fillId="0" borderId="0" xfId="0" applyFont="1"/>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9" fillId="0" borderId="1" xfId="0" applyFont="1" applyBorder="1" applyAlignment="1">
      <alignment vertical="top" wrapText="1"/>
    </xf>
    <xf numFmtId="0" fontId="9" fillId="0" borderId="2"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4" fillId="0" borderId="1" xfId="0" applyFont="1" applyBorder="1" applyAlignment="1">
      <alignment horizontal="center" vertical="center"/>
    </xf>
    <xf numFmtId="3" fontId="9"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164" fontId="12" fillId="0" borderId="1" xfId="0" applyNumberFormat="1" applyFont="1" applyBorder="1" applyAlignment="1">
      <alignment horizontal="center" vertical="center" wrapText="1"/>
    </xf>
    <xf numFmtId="0" fontId="13" fillId="3" borderId="1" xfId="0" applyFont="1" applyFill="1" applyBorder="1"/>
    <xf numFmtId="164" fontId="13" fillId="3" borderId="1" xfId="0" applyNumberFormat="1" applyFont="1" applyFill="1" applyBorder="1"/>
    <xf numFmtId="0" fontId="14" fillId="0" borderId="0" xfId="0" applyFont="1"/>
    <xf numFmtId="0" fontId="15" fillId="0" borderId="0" xfId="0" applyFont="1"/>
    <xf numFmtId="3" fontId="15" fillId="0" borderId="0" xfId="0" applyNumberFormat="1" applyFont="1"/>
    <xf numFmtId="0" fontId="1" fillId="0" borderId="0" xfId="0" applyFont="1"/>
    <xf numFmtId="0" fontId="16" fillId="0" borderId="0" xfId="0" applyFont="1"/>
    <xf numFmtId="0" fontId="13" fillId="4" borderId="1" xfId="0" applyFont="1" applyFill="1" applyBorder="1" applyAlignment="1">
      <alignment horizontal="center" vertical="center"/>
    </xf>
    <xf numFmtId="0" fontId="5" fillId="0" borderId="1" xfId="0" applyFont="1" applyBorder="1" applyAlignment="1">
      <alignment horizontal="center"/>
    </xf>
    <xf numFmtId="3" fontId="5" fillId="0" borderId="1" xfId="0" applyNumberFormat="1" applyFont="1" applyBorder="1" applyAlignment="1">
      <alignment horizontal="right"/>
    </xf>
    <xf numFmtId="0" fontId="17" fillId="5" borderId="1" xfId="0" applyFont="1" applyFill="1" applyBorder="1"/>
    <xf numFmtId="0" fontId="17" fillId="5" borderId="1" xfId="0" applyFont="1" applyFill="1" applyBorder="1" applyAlignment="1">
      <alignment horizontal="right"/>
    </xf>
    <xf numFmtId="3" fontId="17" fillId="5" borderId="1" xfId="0" applyNumberFormat="1" applyFont="1" applyFill="1" applyBorder="1" applyAlignment="1">
      <alignment horizontal="right"/>
    </xf>
    <xf numFmtId="0" fontId="18" fillId="0" borderId="0" xfId="0" applyFont="1"/>
    <xf numFmtId="0" fontId="19" fillId="0" borderId="0" xfId="0" applyFont="1"/>
    <xf numFmtId="3" fontId="0" fillId="0" borderId="0" xfId="0" applyNumberFormat="1"/>
    <xf numFmtId="0" fontId="13" fillId="3" borderId="1" xfId="0" applyFont="1" applyFill="1" applyBorder="1" applyAlignment="1">
      <alignment horizontal="center" vertical="center"/>
    </xf>
    <xf numFmtId="0" fontId="5" fillId="0" borderId="0" xfId="0" applyFont="1" applyAlignment="1">
      <alignment vertical="top" wrapText="1"/>
    </xf>
    <xf numFmtId="0" fontId="1" fillId="0" borderId="0" xfId="0" applyFont="1" applyAlignment="1">
      <alignment horizontal="left" vertical="center"/>
    </xf>
    <xf numFmtId="0" fontId="2" fillId="0" borderId="0" xfId="0" applyFont="1"/>
    <xf numFmtId="0" fontId="8" fillId="0" borderId="1" xfId="0" applyFont="1" applyBorder="1" applyAlignment="1">
      <alignment vertical="center" wrapText="1"/>
    </xf>
    <xf numFmtId="0" fontId="20" fillId="0" borderId="0" xfId="0" applyFont="1"/>
    <xf numFmtId="0" fontId="0" fillId="0" borderId="0" xfId="0"/>
    <xf numFmtId="0" fontId="21" fillId="0" borderId="0" xfId="0" applyFont="1"/>
    <xf numFmtId="0" fontId="7" fillId="6"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16"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2F3"/>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nhif-my.sharepoint.com/:x:/r/personal/david_gambo_sha_go_ke/Documents/SHA_Plus_Data_Request_Template.xlsx?d=w20097be14fbe4c78a54ab00544fc9ebb&amp;csf=1&amp;web=1&amp;e=vx78be&amp;nav=MTVfezAwMDAwMDAwLTAwMDEtMDAwMC0wMzAwLTAwMDAwMDAwMDAwMH0" TargetMode="External"/><Relationship Id="rId1" Type="http://schemas.openxmlformats.org/officeDocument/2006/relationships/hyperlink" Target="https://nhif-my.sharepoint.com/:x:/r/personal/david_gambo_sha_go_ke/Documents/SHA_Plus_Data_Request_Template.xlsx?d=w20097be14fbe4c78a54ab00544fc9ebb&amp;csf=1&amp;web=1&amp;e=FrxPkH&amp;nav=MTVfezAwMDAwMDAwLTAwMDEtMDAwMC0wMjAwLTAwMDAwMDAwMDAwMH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99C9-D721-E340-BD31-3795C1F7738B}">
  <dimension ref="A1:E18"/>
  <sheetViews>
    <sheetView tabSelected="1" workbookViewId="0">
      <selection sqref="A1:D1"/>
    </sheetView>
  </sheetViews>
  <sheetFormatPr baseColWidth="10" defaultColWidth="8.83203125" defaultRowHeight="15" x14ac:dyDescent="0.2"/>
  <cols>
    <col min="1" max="1" width="6" customWidth="1"/>
    <col min="2" max="2" width="30" customWidth="1"/>
    <col min="3" max="4" width="60" customWidth="1"/>
  </cols>
  <sheetData>
    <row r="1" spans="1:5" ht="18" x14ac:dyDescent="0.2">
      <c r="A1" s="37" t="s">
        <v>134</v>
      </c>
      <c r="B1" s="38"/>
      <c r="C1" s="38"/>
      <c r="D1" s="38"/>
    </row>
    <row r="2" spans="1:5" x14ac:dyDescent="0.2">
      <c r="A2" s="39" t="s">
        <v>135</v>
      </c>
      <c r="B2" s="38"/>
      <c r="C2" s="38"/>
      <c r="D2" s="38"/>
    </row>
    <row r="4" spans="1:5" x14ac:dyDescent="0.2">
      <c r="A4" s="40" t="s">
        <v>136</v>
      </c>
      <c r="B4" s="40" t="s">
        <v>137</v>
      </c>
      <c r="C4" s="40" t="s">
        <v>138</v>
      </c>
      <c r="D4" s="40" t="s">
        <v>139</v>
      </c>
    </row>
    <row r="5" spans="1:5" ht="42" x14ac:dyDescent="0.2">
      <c r="A5" s="41">
        <v>1</v>
      </c>
      <c r="B5" s="42" t="s">
        <v>140</v>
      </c>
      <c r="C5" s="43" t="s">
        <v>141</v>
      </c>
      <c r="D5" s="43" t="s">
        <v>142</v>
      </c>
    </row>
    <row r="6" spans="1:5" ht="42" x14ac:dyDescent="0.2">
      <c r="A6" s="41">
        <v>2</v>
      </c>
      <c r="B6" s="42" t="s">
        <v>143</v>
      </c>
      <c r="C6" s="43" t="s">
        <v>144</v>
      </c>
      <c r="D6" s="43" t="s">
        <v>145</v>
      </c>
    </row>
    <row r="7" spans="1:5" ht="70" x14ac:dyDescent="0.2">
      <c r="A7" s="41">
        <v>3</v>
      </c>
      <c r="B7" s="42" t="s">
        <v>146</v>
      </c>
      <c r="C7" s="43" t="s">
        <v>147</v>
      </c>
      <c r="D7" s="43" t="s">
        <v>148</v>
      </c>
    </row>
    <row r="8" spans="1:5" ht="56" x14ac:dyDescent="0.2">
      <c r="A8" s="41">
        <v>4</v>
      </c>
      <c r="B8" s="42" t="s">
        <v>149</v>
      </c>
      <c r="C8" s="43" t="s">
        <v>150</v>
      </c>
      <c r="D8" s="43" t="s">
        <v>151</v>
      </c>
    </row>
    <row r="9" spans="1:5" ht="56" x14ac:dyDescent="0.2">
      <c r="A9" s="41">
        <v>5</v>
      </c>
      <c r="B9" s="42" t="s">
        <v>152</v>
      </c>
      <c r="C9" s="43" t="s">
        <v>153</v>
      </c>
      <c r="D9" s="43" t="s">
        <v>154</v>
      </c>
      <c r="E9" s="44">
        <v>46144</v>
      </c>
    </row>
    <row r="10" spans="1:5" ht="56" x14ac:dyDescent="0.2">
      <c r="A10" s="41">
        <v>6</v>
      </c>
      <c r="B10" s="42" t="s">
        <v>155</v>
      </c>
      <c r="C10" s="43" t="s">
        <v>156</v>
      </c>
      <c r="D10" s="43" t="s">
        <v>157</v>
      </c>
    </row>
    <row r="11" spans="1:5" ht="70" x14ac:dyDescent="0.2">
      <c r="A11" s="41">
        <v>7</v>
      </c>
      <c r="B11" s="42" t="s">
        <v>158</v>
      </c>
      <c r="C11" s="43" t="s">
        <v>159</v>
      </c>
      <c r="D11" s="43" t="s">
        <v>160</v>
      </c>
    </row>
    <row r="12" spans="1:5" ht="42" x14ac:dyDescent="0.2">
      <c r="A12" s="41">
        <v>8</v>
      </c>
      <c r="B12" s="42" t="s">
        <v>161</v>
      </c>
      <c r="C12" s="43" t="s">
        <v>162</v>
      </c>
      <c r="D12" s="43" t="s">
        <v>163</v>
      </c>
    </row>
    <row r="13" spans="1:5" ht="28" x14ac:dyDescent="0.2">
      <c r="A13" s="41">
        <v>9</v>
      </c>
      <c r="B13" s="42" t="s">
        <v>164</v>
      </c>
      <c r="C13" s="43" t="s">
        <v>165</v>
      </c>
      <c r="D13" s="43" t="s">
        <v>166</v>
      </c>
    </row>
    <row r="14" spans="1:5" ht="84" x14ac:dyDescent="0.2">
      <c r="A14" s="41">
        <v>10</v>
      </c>
      <c r="B14" s="42" t="s">
        <v>167</v>
      </c>
      <c r="C14" s="43" t="s">
        <v>168</v>
      </c>
      <c r="D14" s="43" t="s">
        <v>169</v>
      </c>
    </row>
    <row r="15" spans="1:5" ht="42" x14ac:dyDescent="0.2">
      <c r="A15" s="41">
        <v>11</v>
      </c>
      <c r="B15" s="42" t="s">
        <v>170</v>
      </c>
      <c r="C15" s="43" t="s">
        <v>171</v>
      </c>
      <c r="D15" s="43" t="s">
        <v>172</v>
      </c>
    </row>
    <row r="16" spans="1:5" ht="70" x14ac:dyDescent="0.2">
      <c r="A16" s="41">
        <v>12</v>
      </c>
      <c r="B16" s="42" t="s">
        <v>173</v>
      </c>
      <c r="C16" s="43" t="s">
        <v>174</v>
      </c>
      <c r="D16" s="43" t="s">
        <v>175</v>
      </c>
    </row>
    <row r="17" spans="1:4" ht="70" x14ac:dyDescent="0.2">
      <c r="A17" s="41">
        <v>13</v>
      </c>
      <c r="B17" s="42" t="s">
        <v>176</v>
      </c>
      <c r="C17" s="43" t="s">
        <v>177</v>
      </c>
      <c r="D17" s="43" t="s">
        <v>178</v>
      </c>
    </row>
    <row r="18" spans="1:4" ht="70" x14ac:dyDescent="0.2">
      <c r="A18" s="41">
        <v>14</v>
      </c>
      <c r="B18" s="42" t="s">
        <v>179</v>
      </c>
      <c r="C18" s="43" t="s">
        <v>180</v>
      </c>
      <c r="D18" s="43" t="s">
        <v>181</v>
      </c>
    </row>
  </sheetData>
  <mergeCells count="2">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topLeftCell="A6" zoomScaleNormal="100" workbookViewId="0">
      <selection activeCell="C5" sqref="C5"/>
    </sheetView>
  </sheetViews>
  <sheetFormatPr baseColWidth="10" defaultColWidth="8.6640625" defaultRowHeight="15" x14ac:dyDescent="0.2"/>
  <cols>
    <col min="1" max="1" width="4" customWidth="1"/>
    <col min="2" max="2" width="25.1640625" customWidth="1"/>
    <col min="3" max="3" width="56" customWidth="1"/>
    <col min="4" max="6" width="20" customWidth="1"/>
  </cols>
  <sheetData>
    <row r="1" spans="1:6" ht="25.5" customHeight="1" x14ac:dyDescent="0.2">
      <c r="A1" s="34" t="s">
        <v>0</v>
      </c>
      <c r="B1" s="34"/>
      <c r="C1" s="34"/>
      <c r="D1" s="34"/>
      <c r="E1" s="34"/>
      <c r="F1" s="34"/>
    </row>
    <row r="2" spans="1:6" ht="15.75" customHeight="1" x14ac:dyDescent="0.2">
      <c r="A2" s="35" t="s">
        <v>1</v>
      </c>
      <c r="B2" s="35"/>
      <c r="C2" s="35"/>
      <c r="D2" s="35"/>
      <c r="E2" s="35"/>
      <c r="F2" s="35"/>
    </row>
    <row r="4" spans="1:6" ht="14.25" customHeight="1" x14ac:dyDescent="0.2">
      <c r="A4" s="1"/>
      <c r="B4" s="1" t="s">
        <v>2</v>
      </c>
      <c r="C4" s="1" t="s">
        <v>3</v>
      </c>
    </row>
    <row r="5" spans="1:6" ht="30" customHeight="1" x14ac:dyDescent="0.2">
      <c r="B5" s="2" t="s">
        <v>4</v>
      </c>
      <c r="C5" s="3" t="s">
        <v>5</v>
      </c>
    </row>
    <row r="6" spans="1:6" ht="30" customHeight="1" x14ac:dyDescent="0.2">
      <c r="B6" s="2" t="s">
        <v>6</v>
      </c>
      <c r="C6" s="3" t="s">
        <v>7</v>
      </c>
    </row>
    <row r="7" spans="1:6" ht="30" customHeight="1" x14ac:dyDescent="0.2">
      <c r="B7" s="2" t="s">
        <v>8</v>
      </c>
      <c r="C7" s="3" t="s">
        <v>9</v>
      </c>
    </row>
    <row r="8" spans="1:6" ht="30" customHeight="1" x14ac:dyDescent="0.2">
      <c r="B8" s="2" t="s">
        <v>10</v>
      </c>
      <c r="C8" s="3" t="s">
        <v>11</v>
      </c>
    </row>
    <row r="9" spans="1:6" ht="30" customHeight="1" x14ac:dyDescent="0.2">
      <c r="B9" s="2" t="s">
        <v>12</v>
      </c>
      <c r="C9" s="3" t="s">
        <v>13</v>
      </c>
    </row>
    <row r="10" spans="1:6" ht="30" customHeight="1" x14ac:dyDescent="0.2">
      <c r="B10" s="2" t="s">
        <v>14</v>
      </c>
      <c r="C10" s="4" t="s">
        <v>15</v>
      </c>
    </row>
    <row r="11" spans="1:6" ht="30" customHeight="1" x14ac:dyDescent="0.2">
      <c r="B11" s="2" t="s">
        <v>16</v>
      </c>
      <c r="C11" s="3" t="s">
        <v>17</v>
      </c>
    </row>
    <row r="12" spans="1:6" ht="30" customHeight="1" x14ac:dyDescent="0.2">
      <c r="B12" s="2" t="s">
        <v>18</v>
      </c>
      <c r="C12" s="3" t="s">
        <v>19</v>
      </c>
    </row>
    <row r="14" spans="1:6" ht="14.25" customHeight="1" x14ac:dyDescent="0.2">
      <c r="B14" s="5" t="s">
        <v>20</v>
      </c>
    </row>
    <row r="15" spans="1:6" ht="27.75" customHeight="1" x14ac:dyDescent="0.2">
      <c r="B15" s="33" t="s">
        <v>21</v>
      </c>
      <c r="C15" s="33"/>
      <c r="D15" s="33"/>
      <c r="E15" s="33"/>
    </row>
    <row r="16" spans="1:6" ht="27.75" customHeight="1" x14ac:dyDescent="0.2">
      <c r="B16" s="33" t="s">
        <v>22</v>
      </c>
      <c r="C16" s="33"/>
      <c r="D16" s="33"/>
      <c r="E16" s="33"/>
    </row>
    <row r="17" spans="2:5" ht="27.75" customHeight="1" x14ac:dyDescent="0.2">
      <c r="B17" s="33" t="s">
        <v>23</v>
      </c>
      <c r="C17" s="33"/>
      <c r="D17" s="33"/>
      <c r="E17" s="33"/>
    </row>
    <row r="18" spans="2:5" ht="27.75" customHeight="1" x14ac:dyDescent="0.2">
      <c r="B18" s="33"/>
      <c r="C18" s="33"/>
      <c r="D18" s="33"/>
      <c r="E18" s="33"/>
    </row>
  </sheetData>
  <mergeCells count="6">
    <mergeCell ref="B18:E18"/>
    <mergeCell ref="A1:F1"/>
    <mergeCell ref="A2:F2"/>
    <mergeCell ref="B15:E15"/>
    <mergeCell ref="B16:E16"/>
    <mergeCell ref="B17:E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zoomScaleNormal="100" workbookViewId="0">
      <pane xSplit="2" ySplit="4" topLeftCell="C5" activePane="bottomRight" state="frozen"/>
      <selection pane="topRight" activeCell="C1" sqref="C1"/>
      <selection pane="bottomLeft" activeCell="A5" sqref="A5"/>
      <selection pane="bottomRight" activeCell="C24" sqref="C24"/>
    </sheetView>
  </sheetViews>
  <sheetFormatPr baseColWidth="10" defaultColWidth="8.6640625" defaultRowHeight="15" x14ac:dyDescent="0.2"/>
  <cols>
    <col min="1" max="1" width="2.6640625" customWidth="1"/>
    <col min="2" max="2" width="30.6640625" customWidth="1"/>
    <col min="3" max="3" width="69" customWidth="1"/>
    <col min="4" max="4" width="18.5" customWidth="1"/>
    <col min="5" max="5" width="29.33203125" customWidth="1"/>
    <col min="6" max="6" width="21.5" customWidth="1"/>
    <col min="7" max="7" width="12.5" customWidth="1"/>
    <col min="8" max="8" width="18" customWidth="1"/>
  </cols>
  <sheetData>
    <row r="1" spans="1:8" ht="25.5" customHeight="1" x14ac:dyDescent="0.2">
      <c r="A1" s="34" t="s">
        <v>24</v>
      </c>
      <c r="B1" s="34"/>
      <c r="C1" s="34"/>
      <c r="D1" s="34"/>
      <c r="E1" s="34"/>
      <c r="F1" s="34"/>
      <c r="G1" s="34"/>
    </row>
    <row r="2" spans="1:8" ht="15.75" customHeight="1" x14ac:dyDescent="0.2">
      <c r="A2" s="35" t="s">
        <v>25</v>
      </c>
      <c r="B2" s="35"/>
      <c r="C2" s="35"/>
      <c r="D2" s="35"/>
      <c r="E2" s="35"/>
      <c r="F2" s="35"/>
      <c r="G2" s="35"/>
    </row>
    <row r="4" spans="1:8" ht="43.5" customHeight="1" x14ac:dyDescent="0.2">
      <c r="A4" s="6" t="s">
        <v>26</v>
      </c>
      <c r="B4" s="6" t="s">
        <v>27</v>
      </c>
      <c r="C4" s="6" t="s">
        <v>28</v>
      </c>
      <c r="D4" s="6" t="s">
        <v>29</v>
      </c>
      <c r="E4" s="6" t="s">
        <v>30</v>
      </c>
      <c r="F4" s="6" t="s">
        <v>31</v>
      </c>
      <c r="G4" s="6" t="s">
        <v>32</v>
      </c>
      <c r="H4" s="7" t="s">
        <v>33</v>
      </c>
    </row>
    <row r="5" spans="1:8" ht="33.75" customHeight="1" x14ac:dyDescent="0.2">
      <c r="A5" s="3">
        <v>1</v>
      </c>
      <c r="B5" s="36" t="s">
        <v>34</v>
      </c>
      <c r="C5" s="3" t="s">
        <v>35</v>
      </c>
      <c r="D5" s="3" t="s">
        <v>36</v>
      </c>
      <c r="E5" s="8" t="s">
        <v>37</v>
      </c>
      <c r="F5" s="8"/>
      <c r="G5" s="8" t="s">
        <v>38</v>
      </c>
      <c r="H5" s="9" t="s">
        <v>39</v>
      </c>
    </row>
    <row r="6" spans="1:8" ht="33.75" customHeight="1" x14ac:dyDescent="0.2">
      <c r="A6" s="3">
        <v>2</v>
      </c>
      <c r="B6" s="36"/>
      <c r="C6" s="3" t="s">
        <v>40</v>
      </c>
      <c r="D6" s="3" t="s">
        <v>41</v>
      </c>
      <c r="E6" s="8" t="s">
        <v>37</v>
      </c>
      <c r="F6" s="8"/>
      <c r="G6" s="8" t="s">
        <v>38</v>
      </c>
      <c r="H6" s="9" t="s">
        <v>39</v>
      </c>
    </row>
    <row r="7" spans="1:8" ht="33.75" customHeight="1" x14ac:dyDescent="0.2">
      <c r="A7" s="3">
        <v>3</v>
      </c>
      <c r="B7" s="36"/>
      <c r="C7" s="3" t="s">
        <v>42</v>
      </c>
      <c r="D7" s="3"/>
      <c r="E7" s="8" t="s">
        <v>37</v>
      </c>
      <c r="F7" s="8"/>
      <c r="G7" s="8" t="s">
        <v>38</v>
      </c>
      <c r="H7" s="9" t="s">
        <v>39</v>
      </c>
    </row>
    <row r="8" spans="1:8" ht="33.75" customHeight="1" x14ac:dyDescent="0.2">
      <c r="A8" s="3">
        <v>4</v>
      </c>
      <c r="B8" s="36"/>
      <c r="C8" s="3" t="s">
        <v>43</v>
      </c>
      <c r="D8" s="3"/>
      <c r="E8" s="8" t="s">
        <v>37</v>
      </c>
      <c r="F8" s="8"/>
      <c r="G8" s="8" t="s">
        <v>38</v>
      </c>
      <c r="H8" s="9" t="s">
        <v>39</v>
      </c>
    </row>
    <row r="9" spans="1:8" ht="33.75" customHeight="1" x14ac:dyDescent="0.2">
      <c r="A9" s="3">
        <v>5</v>
      </c>
      <c r="B9" s="36" t="s">
        <v>44</v>
      </c>
      <c r="C9" s="3" t="s">
        <v>45</v>
      </c>
      <c r="D9" s="10" t="s">
        <v>46</v>
      </c>
      <c r="E9" s="8" t="s">
        <v>47</v>
      </c>
      <c r="F9" s="8"/>
      <c r="G9" s="8" t="s">
        <v>38</v>
      </c>
      <c r="H9" s="9" t="s">
        <v>39</v>
      </c>
    </row>
    <row r="10" spans="1:8" ht="33.75" customHeight="1" x14ac:dyDescent="0.2">
      <c r="A10" s="3">
        <v>6</v>
      </c>
      <c r="B10" s="36"/>
      <c r="C10" s="3" t="s">
        <v>48</v>
      </c>
      <c r="D10" s="3"/>
      <c r="E10" s="8" t="s">
        <v>47</v>
      </c>
      <c r="F10" s="8"/>
      <c r="G10" s="8" t="s">
        <v>38</v>
      </c>
      <c r="H10" s="9" t="s">
        <v>39</v>
      </c>
    </row>
    <row r="11" spans="1:8" ht="33.75" customHeight="1" x14ac:dyDescent="0.2">
      <c r="A11" s="3">
        <v>7</v>
      </c>
      <c r="B11" s="36"/>
      <c r="C11" s="3" t="s">
        <v>49</v>
      </c>
      <c r="D11" s="3" t="s">
        <v>50</v>
      </c>
      <c r="E11" s="8" t="s">
        <v>37</v>
      </c>
      <c r="F11" s="8"/>
      <c r="G11" s="8" t="s">
        <v>38</v>
      </c>
      <c r="H11" s="9" t="s">
        <v>39</v>
      </c>
    </row>
    <row r="12" spans="1:8" ht="33.75" customHeight="1" x14ac:dyDescent="0.2">
      <c r="A12" s="3">
        <v>8</v>
      </c>
      <c r="B12" s="36"/>
      <c r="C12" s="3" t="s">
        <v>51</v>
      </c>
      <c r="D12" s="3"/>
      <c r="E12" s="8" t="s">
        <v>37</v>
      </c>
      <c r="F12" s="8"/>
      <c r="G12" s="8" t="s">
        <v>38</v>
      </c>
      <c r="H12" s="9" t="s">
        <v>39</v>
      </c>
    </row>
    <row r="13" spans="1:8" ht="33.75" customHeight="1" x14ac:dyDescent="0.2">
      <c r="A13" s="3">
        <v>9</v>
      </c>
      <c r="B13" s="36"/>
      <c r="C13" s="3" t="s">
        <v>52</v>
      </c>
      <c r="D13" s="3" t="s">
        <v>53</v>
      </c>
      <c r="E13" s="8" t="s">
        <v>47</v>
      </c>
      <c r="F13" s="8" t="s">
        <v>54</v>
      </c>
      <c r="G13" s="8" t="s">
        <v>38</v>
      </c>
      <c r="H13" s="9" t="s">
        <v>39</v>
      </c>
    </row>
    <row r="14" spans="1:8" ht="33.75" customHeight="1" x14ac:dyDescent="0.2">
      <c r="A14" s="3">
        <v>10</v>
      </c>
      <c r="B14" s="36" t="s">
        <v>55</v>
      </c>
      <c r="C14" s="3" t="s">
        <v>56</v>
      </c>
      <c r="D14" s="3" t="s">
        <v>57</v>
      </c>
      <c r="E14" s="8" t="s">
        <v>58</v>
      </c>
      <c r="F14" s="8" t="s">
        <v>59</v>
      </c>
      <c r="G14" s="8" t="s">
        <v>38</v>
      </c>
      <c r="H14" s="9" t="s">
        <v>60</v>
      </c>
    </row>
    <row r="15" spans="1:8" ht="33.75" customHeight="1" x14ac:dyDescent="0.2">
      <c r="A15" s="3">
        <v>11</v>
      </c>
      <c r="B15" s="36"/>
      <c r="C15" s="3" t="s">
        <v>61</v>
      </c>
      <c r="D15" s="3" t="s">
        <v>62</v>
      </c>
      <c r="E15" s="8" t="s">
        <v>58</v>
      </c>
      <c r="F15" s="8"/>
      <c r="G15" s="8" t="s">
        <v>38</v>
      </c>
      <c r="H15" s="9" t="s">
        <v>60</v>
      </c>
    </row>
    <row r="16" spans="1:8" ht="33.75" customHeight="1" x14ac:dyDescent="0.2">
      <c r="A16" s="3">
        <v>12</v>
      </c>
      <c r="B16" s="36" t="s">
        <v>63</v>
      </c>
      <c r="C16" s="3" t="s">
        <v>64</v>
      </c>
      <c r="D16" s="3"/>
      <c r="E16" s="8"/>
      <c r="F16" s="8"/>
      <c r="G16" s="8" t="s">
        <v>38</v>
      </c>
    </row>
    <row r="17" spans="1:7" ht="33.75" customHeight="1" x14ac:dyDescent="0.2">
      <c r="A17" s="3">
        <v>13</v>
      </c>
      <c r="B17" s="36"/>
      <c r="C17" s="3" t="s">
        <v>65</v>
      </c>
      <c r="D17" s="3"/>
      <c r="E17" s="8"/>
      <c r="F17" s="8"/>
      <c r="G17" s="8" t="s">
        <v>38</v>
      </c>
    </row>
    <row r="18" spans="1:7" ht="33.75" customHeight="1" x14ac:dyDescent="0.2">
      <c r="A18" s="3">
        <v>14</v>
      </c>
      <c r="B18" s="36"/>
      <c r="C18" s="3" t="s">
        <v>66</v>
      </c>
      <c r="D18" s="3"/>
      <c r="E18" s="8"/>
      <c r="F18" s="8"/>
      <c r="G18" s="8" t="s">
        <v>38</v>
      </c>
    </row>
    <row r="19" spans="1:7" ht="33.75" customHeight="1" x14ac:dyDescent="0.2">
      <c r="A19" s="3">
        <v>15</v>
      </c>
      <c r="B19" s="36" t="s">
        <v>67</v>
      </c>
      <c r="C19" s="3" t="s">
        <v>68</v>
      </c>
      <c r="D19" s="11" t="s">
        <v>69</v>
      </c>
      <c r="E19" s="8"/>
      <c r="F19" s="8"/>
      <c r="G19" s="8" t="s">
        <v>38</v>
      </c>
    </row>
    <row r="20" spans="1:7" ht="33.75" customHeight="1" x14ac:dyDescent="0.2">
      <c r="A20" s="3">
        <v>16</v>
      </c>
      <c r="B20" s="36"/>
      <c r="C20" s="3" t="s">
        <v>70</v>
      </c>
      <c r="D20" s="11" t="s">
        <v>71</v>
      </c>
      <c r="E20" s="8"/>
      <c r="F20" s="8"/>
      <c r="G20" s="8" t="s">
        <v>38</v>
      </c>
    </row>
  </sheetData>
  <mergeCells count="7">
    <mergeCell ref="B16:B18"/>
    <mergeCell ref="B19:B20"/>
    <mergeCell ref="A1:G1"/>
    <mergeCell ref="A2:G2"/>
    <mergeCell ref="B5:B8"/>
    <mergeCell ref="B9:B13"/>
    <mergeCell ref="B14:B15"/>
  </mergeCells>
  <dataValidations count="1">
    <dataValidation type="list" allowBlank="1" sqref="E5:E20" xr:uid="{00000000-0002-0000-0100-000000000000}">
      <formula1>"Approve,Approve with conditions,Decline,Pending"</formula1>
      <formula2>0</formula2>
    </dataValidation>
  </dataValidations>
  <hyperlinks>
    <hyperlink ref="D19" r:id="rId1" xr:uid="{00000000-0004-0000-0100-000000000000}"/>
    <hyperlink ref="D20" r:id="rId2" xr:uid="{00000000-0004-0000-0100-000001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showGridLines="0" zoomScaleNormal="100" workbookViewId="0">
      <pane ySplit="4" topLeftCell="A5" activePane="bottomLeft" state="frozen"/>
      <selection pane="bottomLeft" activeCell="A2" sqref="A2:F2"/>
    </sheetView>
  </sheetViews>
  <sheetFormatPr baseColWidth="10" defaultColWidth="8.6640625" defaultRowHeight="15" x14ac:dyDescent="0.2"/>
  <cols>
    <col min="1" max="1" width="10" customWidth="1"/>
    <col min="2" max="4" width="20" customWidth="1"/>
    <col min="5" max="5" width="16" customWidth="1"/>
    <col min="6" max="7" width="22" customWidth="1"/>
  </cols>
  <sheetData>
    <row r="1" spans="1:7" ht="25.5" customHeight="1" x14ac:dyDescent="0.2">
      <c r="A1" s="34" t="s">
        <v>72</v>
      </c>
      <c r="B1" s="34"/>
      <c r="C1" s="34"/>
      <c r="D1" s="34"/>
      <c r="E1" s="34"/>
      <c r="F1" s="34"/>
    </row>
    <row r="2" spans="1:7" ht="15.75" customHeight="1" x14ac:dyDescent="0.2">
      <c r="A2" s="35"/>
      <c r="B2" s="35"/>
      <c r="C2" s="35"/>
      <c r="D2" s="35"/>
      <c r="E2" s="35"/>
      <c r="F2" s="35"/>
    </row>
    <row r="4" spans="1:7" ht="39.75" customHeight="1" x14ac:dyDescent="0.2">
      <c r="A4" s="6" t="s">
        <v>73</v>
      </c>
      <c r="B4" s="6" t="s">
        <v>74</v>
      </c>
      <c r="C4" s="6" t="s">
        <v>75</v>
      </c>
      <c r="D4" s="6" t="s">
        <v>76</v>
      </c>
      <c r="E4" s="6" t="s">
        <v>77</v>
      </c>
      <c r="F4" s="6" t="s">
        <v>78</v>
      </c>
      <c r="G4" s="6" t="s">
        <v>79</v>
      </c>
    </row>
    <row r="5" spans="1:7" ht="19.5" customHeight="1" x14ac:dyDescent="0.2">
      <c r="A5" s="12" t="s">
        <v>80</v>
      </c>
      <c r="B5" s="13">
        <v>209956</v>
      </c>
      <c r="C5" s="13">
        <v>488518456</v>
      </c>
      <c r="D5" s="13">
        <v>228373</v>
      </c>
      <c r="E5" s="13">
        <v>252818</v>
      </c>
      <c r="F5" s="14">
        <v>5160869578</v>
      </c>
      <c r="G5" s="15">
        <f t="shared" ref="G5:G15" si="0">IF(B5=0,0,F5/B5)</f>
        <v>24580.719665072684</v>
      </c>
    </row>
    <row r="6" spans="1:7" ht="19.5" customHeight="1" x14ac:dyDescent="0.2">
      <c r="A6" s="12" t="s">
        <v>81</v>
      </c>
      <c r="B6" s="13">
        <v>217834</v>
      </c>
      <c r="C6" s="13">
        <v>575164141</v>
      </c>
      <c r="D6" s="13">
        <v>375484</v>
      </c>
      <c r="E6" s="13">
        <v>279712</v>
      </c>
      <c r="F6" s="14">
        <v>5820408903</v>
      </c>
      <c r="G6" s="15">
        <f t="shared" si="0"/>
        <v>26719.469426260363</v>
      </c>
    </row>
    <row r="7" spans="1:7" ht="19.5" customHeight="1" x14ac:dyDescent="0.2">
      <c r="A7" s="12" t="s">
        <v>82</v>
      </c>
      <c r="B7" s="13">
        <v>192509</v>
      </c>
      <c r="C7" s="13">
        <v>538729235</v>
      </c>
      <c r="D7" s="13">
        <v>468285</v>
      </c>
      <c r="E7" s="13">
        <v>275142</v>
      </c>
      <c r="F7" s="14">
        <v>5867595542</v>
      </c>
      <c r="G7" s="15">
        <f t="shared" si="0"/>
        <v>30479.590782768599</v>
      </c>
    </row>
    <row r="8" spans="1:7" ht="19.5" customHeight="1" x14ac:dyDescent="0.2">
      <c r="A8" s="12" t="s">
        <v>83</v>
      </c>
      <c r="B8" s="13">
        <v>185998</v>
      </c>
      <c r="C8" s="13">
        <v>534901506</v>
      </c>
      <c r="D8" s="13">
        <v>545449</v>
      </c>
      <c r="E8" s="13">
        <v>296724</v>
      </c>
      <c r="F8" s="14">
        <v>6240930268</v>
      </c>
      <c r="G8" s="15">
        <f t="shared" si="0"/>
        <v>33553.749330637962</v>
      </c>
    </row>
    <row r="9" spans="1:7" ht="19.5" customHeight="1" x14ac:dyDescent="0.2">
      <c r="A9" s="12" t="s">
        <v>84</v>
      </c>
      <c r="B9" s="13">
        <v>119685</v>
      </c>
      <c r="C9" s="13">
        <v>370612001</v>
      </c>
      <c r="D9" s="13">
        <v>368863</v>
      </c>
      <c r="E9" s="13">
        <v>205839</v>
      </c>
      <c r="F9" s="14">
        <v>4454120059</v>
      </c>
      <c r="G9" s="15">
        <f t="shared" si="0"/>
        <v>37215.357471696538</v>
      </c>
    </row>
    <row r="10" spans="1:7" ht="19.5" customHeight="1" x14ac:dyDescent="0.2">
      <c r="A10" s="12" t="s">
        <v>85</v>
      </c>
      <c r="B10" s="13">
        <v>109443</v>
      </c>
      <c r="C10" s="13">
        <v>332697061</v>
      </c>
      <c r="D10" s="13">
        <v>300226</v>
      </c>
      <c r="E10" s="13">
        <v>202067</v>
      </c>
      <c r="F10" s="14">
        <v>4257341057</v>
      </c>
      <c r="G10" s="15">
        <f t="shared" si="0"/>
        <v>38900.07635938342</v>
      </c>
    </row>
    <row r="11" spans="1:7" ht="19.5" customHeight="1" x14ac:dyDescent="0.2">
      <c r="A11" s="12" t="s">
        <v>86</v>
      </c>
      <c r="B11" s="13">
        <v>99515</v>
      </c>
      <c r="C11" s="13">
        <v>309773278</v>
      </c>
      <c r="D11" s="13">
        <v>217684</v>
      </c>
      <c r="E11" s="13">
        <v>188896</v>
      </c>
      <c r="F11" s="14">
        <v>3956385000</v>
      </c>
      <c r="G11" s="15">
        <f t="shared" si="0"/>
        <v>39756.66984876652</v>
      </c>
    </row>
    <row r="12" spans="1:7" ht="19.5" customHeight="1" x14ac:dyDescent="0.2">
      <c r="A12" s="12" t="s">
        <v>87</v>
      </c>
      <c r="B12" s="13">
        <v>75599</v>
      </c>
      <c r="C12" s="13">
        <v>270144223</v>
      </c>
      <c r="D12" s="13">
        <v>121322</v>
      </c>
      <c r="E12" s="13">
        <v>156578</v>
      </c>
      <c r="F12" s="14">
        <v>3221879268</v>
      </c>
      <c r="G12" s="15">
        <f t="shared" si="0"/>
        <v>42618.014365269381</v>
      </c>
    </row>
    <row r="13" spans="1:7" ht="19.5" customHeight="1" x14ac:dyDescent="0.2">
      <c r="A13" s="12" t="s">
        <v>88</v>
      </c>
      <c r="B13" s="13">
        <v>105155</v>
      </c>
      <c r="C13" s="13">
        <v>381878746</v>
      </c>
      <c r="D13" s="13">
        <v>131038</v>
      </c>
      <c r="E13" s="13">
        <v>220677</v>
      </c>
      <c r="F13" s="14">
        <v>4572010443</v>
      </c>
      <c r="G13" s="15">
        <f t="shared" si="0"/>
        <v>43478.773648423754</v>
      </c>
    </row>
    <row r="14" spans="1:7" ht="19.5" customHeight="1" x14ac:dyDescent="0.2">
      <c r="A14" s="12" t="s">
        <v>89</v>
      </c>
      <c r="B14" s="13">
        <v>291785</v>
      </c>
      <c r="C14" s="13">
        <v>1036112620</v>
      </c>
      <c r="D14" s="13">
        <v>225670</v>
      </c>
      <c r="E14" s="13">
        <v>594165</v>
      </c>
      <c r="F14" s="14">
        <v>13553200542</v>
      </c>
      <c r="G14" s="15">
        <f t="shared" si="0"/>
        <v>46449.271011189747</v>
      </c>
    </row>
    <row r="15" spans="1:7" ht="14.25" customHeight="1" x14ac:dyDescent="0.2">
      <c r="A15" s="16" t="s">
        <v>90</v>
      </c>
      <c r="B15" s="17">
        <f>SUM(B5:B14)</f>
        <v>1607479</v>
      </c>
      <c r="C15" s="17">
        <f>SUM(C5:C14)</f>
        <v>4838531267</v>
      </c>
      <c r="D15" s="17">
        <f>SUM(D5:D14)</f>
        <v>2982394</v>
      </c>
      <c r="E15" s="17">
        <f>SUM(E5:E14)</f>
        <v>2672618</v>
      </c>
      <c r="F15" s="17">
        <f>SUM(F5:F14)</f>
        <v>57104740660</v>
      </c>
      <c r="G15" s="17">
        <f t="shared" si="0"/>
        <v>35524.408505492138</v>
      </c>
    </row>
    <row r="17" spans="1:6" ht="14.25" customHeight="1" x14ac:dyDescent="0.2">
      <c r="A17" s="18" t="s">
        <v>91</v>
      </c>
    </row>
    <row r="18" spans="1:6" ht="14.25" customHeight="1" x14ac:dyDescent="0.2">
      <c r="A18" s="19" t="s">
        <v>92</v>
      </c>
    </row>
    <row r="19" spans="1:6" ht="14.25" customHeight="1" x14ac:dyDescent="0.2">
      <c r="A19" s="19" t="s">
        <v>93</v>
      </c>
    </row>
    <row r="20" spans="1:6" ht="14.25" customHeight="1" x14ac:dyDescent="0.2">
      <c r="A20" s="19" t="s">
        <v>94</v>
      </c>
    </row>
    <row r="21" spans="1:6" ht="14.25" customHeight="1" x14ac:dyDescent="0.2">
      <c r="A21" s="19" t="s">
        <v>95</v>
      </c>
    </row>
    <row r="22" spans="1:6" ht="14.25" customHeight="1" x14ac:dyDescent="0.2">
      <c r="A22" s="19" t="s">
        <v>96</v>
      </c>
    </row>
    <row r="23" spans="1:6" ht="14.25" customHeight="1" x14ac:dyDescent="0.2">
      <c r="A23" s="19" t="s">
        <v>97</v>
      </c>
      <c r="B23" s="20">
        <v>624555</v>
      </c>
      <c r="C23" s="20">
        <v>1239706566</v>
      </c>
      <c r="D23" s="20">
        <v>543772</v>
      </c>
      <c r="E23" s="20">
        <v>626407</v>
      </c>
      <c r="F23" s="20">
        <v>16752118444</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showGridLines="0" zoomScaleNormal="100" workbookViewId="0">
      <pane ySplit="4" topLeftCell="A5" activePane="bottomLeft" state="frozen"/>
      <selection pane="bottomLeft" activeCell="B23" sqref="B23"/>
    </sheetView>
  </sheetViews>
  <sheetFormatPr baseColWidth="10" defaultColWidth="8.6640625" defaultRowHeight="15" x14ac:dyDescent="0.2"/>
  <cols>
    <col min="1" max="1" width="10" customWidth="1"/>
    <col min="2" max="4" width="20" customWidth="1"/>
    <col min="5" max="5" width="16" customWidth="1"/>
    <col min="6" max="7" width="22" customWidth="1"/>
  </cols>
  <sheetData>
    <row r="1" spans="1:7" ht="25.5" customHeight="1" x14ac:dyDescent="0.2">
      <c r="A1" s="34" t="s">
        <v>72</v>
      </c>
      <c r="B1" s="34"/>
      <c r="C1" s="34"/>
      <c r="D1" s="34"/>
      <c r="E1" s="34"/>
      <c r="F1" s="34"/>
    </row>
    <row r="2" spans="1:7" ht="15.75" customHeight="1" x14ac:dyDescent="0.2">
      <c r="A2" s="35"/>
      <c r="B2" s="35"/>
      <c r="C2" s="35"/>
      <c r="D2" s="35"/>
      <c r="E2" s="35"/>
      <c r="F2" s="35"/>
    </row>
    <row r="4" spans="1:7" ht="39.75" customHeight="1" x14ac:dyDescent="0.2">
      <c r="A4" s="6" t="s">
        <v>73</v>
      </c>
      <c r="B4" s="6" t="s">
        <v>74</v>
      </c>
      <c r="C4" s="6" t="s">
        <v>75</v>
      </c>
      <c r="D4" s="6" t="s">
        <v>76</v>
      </c>
      <c r="E4" s="6" t="s">
        <v>77</v>
      </c>
      <c r="F4" s="6" t="s">
        <v>78</v>
      </c>
      <c r="G4" s="6" t="s">
        <v>79</v>
      </c>
    </row>
    <row r="5" spans="1:7" ht="19.5" customHeight="1" x14ac:dyDescent="0.2">
      <c r="A5" s="12" t="s">
        <v>80</v>
      </c>
      <c r="B5" s="13">
        <v>234613</v>
      </c>
      <c r="C5" s="13">
        <v>1256496023</v>
      </c>
      <c r="D5" s="13">
        <v>111216</v>
      </c>
      <c r="E5" s="13">
        <v>75566</v>
      </c>
      <c r="F5" s="14">
        <v>990349640</v>
      </c>
      <c r="G5" s="15">
        <f t="shared" ref="G5:G15" si="0">IF(B5=0,0,F5/B5)</f>
        <v>4221.2053040539104</v>
      </c>
    </row>
    <row r="6" spans="1:7" ht="19.5" customHeight="1" x14ac:dyDescent="0.2">
      <c r="A6" s="12" t="s">
        <v>81</v>
      </c>
      <c r="B6" s="13">
        <v>451987</v>
      </c>
      <c r="C6" s="13">
        <v>4816255607</v>
      </c>
      <c r="D6" s="13">
        <v>492253</v>
      </c>
      <c r="E6" s="13">
        <v>307258</v>
      </c>
      <c r="F6" s="14">
        <v>3400779234</v>
      </c>
      <c r="G6" s="15">
        <f t="shared" si="0"/>
        <v>7524.0642629102167</v>
      </c>
    </row>
    <row r="7" spans="1:7" ht="19.5" customHeight="1" x14ac:dyDescent="0.2">
      <c r="A7" s="12" t="s">
        <v>82</v>
      </c>
      <c r="B7" s="13">
        <v>470757</v>
      </c>
      <c r="C7" s="13">
        <v>7589441249</v>
      </c>
      <c r="D7" s="13">
        <v>872339</v>
      </c>
      <c r="E7" s="13">
        <v>457762</v>
      </c>
      <c r="F7" s="14">
        <v>4632218136</v>
      </c>
      <c r="G7" s="15">
        <f t="shared" si="0"/>
        <v>9839.9346924209312</v>
      </c>
    </row>
    <row r="8" spans="1:7" ht="19.5" customHeight="1" x14ac:dyDescent="0.2">
      <c r="A8" s="12" t="s">
        <v>83</v>
      </c>
      <c r="B8" s="13">
        <v>413627</v>
      </c>
      <c r="C8" s="13">
        <v>8218378495</v>
      </c>
      <c r="D8" s="13">
        <v>1008456</v>
      </c>
      <c r="E8" s="13">
        <v>450456</v>
      </c>
      <c r="F8" s="14">
        <v>4317014288</v>
      </c>
      <c r="G8" s="15">
        <f t="shared" si="0"/>
        <v>10436.974104688523</v>
      </c>
    </row>
    <row r="9" spans="1:7" ht="19.5" customHeight="1" x14ac:dyDescent="0.2">
      <c r="A9" s="12" t="s">
        <v>84</v>
      </c>
      <c r="B9" s="13">
        <v>293716</v>
      </c>
      <c r="C9" s="13">
        <v>6725186934</v>
      </c>
      <c r="D9" s="13">
        <v>801602</v>
      </c>
      <c r="E9" s="13">
        <v>367614</v>
      </c>
      <c r="F9" s="14">
        <v>3185574783</v>
      </c>
      <c r="G9" s="15">
        <f t="shared" si="0"/>
        <v>10845.765239210667</v>
      </c>
    </row>
    <row r="10" spans="1:7" ht="19.5" customHeight="1" x14ac:dyDescent="0.2">
      <c r="A10" s="12" t="s">
        <v>85</v>
      </c>
      <c r="B10" s="13">
        <v>232917</v>
      </c>
      <c r="C10" s="13">
        <v>5539621740</v>
      </c>
      <c r="D10" s="13">
        <v>602075</v>
      </c>
      <c r="E10" s="13">
        <v>322611</v>
      </c>
      <c r="F10" s="14">
        <v>2693244799</v>
      </c>
      <c r="G10" s="15">
        <f t="shared" si="0"/>
        <v>11563.109601274273</v>
      </c>
    </row>
    <row r="11" spans="1:7" ht="19.5" customHeight="1" x14ac:dyDescent="0.2">
      <c r="A11" s="12" t="s">
        <v>86</v>
      </c>
      <c r="B11" s="13">
        <v>182195</v>
      </c>
      <c r="C11" s="13">
        <v>4855813359</v>
      </c>
      <c r="D11" s="13">
        <v>404582</v>
      </c>
      <c r="E11" s="13">
        <v>276157</v>
      </c>
      <c r="F11" s="14">
        <v>2291568960</v>
      </c>
      <c r="G11" s="15">
        <f t="shared" si="0"/>
        <v>12577.562282170202</v>
      </c>
    </row>
    <row r="12" spans="1:7" ht="19.5" customHeight="1" x14ac:dyDescent="0.2">
      <c r="A12" s="12" t="s">
        <v>87</v>
      </c>
      <c r="B12" s="13">
        <v>120617</v>
      </c>
      <c r="C12" s="13">
        <v>3598616464</v>
      </c>
      <c r="D12" s="13">
        <v>181391</v>
      </c>
      <c r="E12" s="13">
        <v>226334</v>
      </c>
      <c r="F12" s="14">
        <v>1761189014</v>
      </c>
      <c r="G12" s="15">
        <f t="shared" si="0"/>
        <v>14601.49907558636</v>
      </c>
    </row>
    <row r="13" spans="1:7" ht="19.5" customHeight="1" x14ac:dyDescent="0.2">
      <c r="A13" s="12" t="s">
        <v>88</v>
      </c>
      <c r="B13" s="13">
        <v>29639</v>
      </c>
      <c r="C13" s="13">
        <v>557144386</v>
      </c>
      <c r="D13" s="13">
        <v>35031</v>
      </c>
      <c r="E13" s="13">
        <v>27934</v>
      </c>
      <c r="F13" s="14">
        <v>456629741</v>
      </c>
      <c r="G13" s="15">
        <f t="shared" si="0"/>
        <v>15406.381490603597</v>
      </c>
    </row>
    <row r="14" spans="1:7" ht="19.5" customHeight="1" x14ac:dyDescent="0.2">
      <c r="A14" s="12" t="s">
        <v>89</v>
      </c>
      <c r="B14" s="13">
        <v>39935</v>
      </c>
      <c r="C14" s="13">
        <v>539426633</v>
      </c>
      <c r="D14" s="13">
        <v>28949</v>
      </c>
      <c r="E14" s="13">
        <v>35041</v>
      </c>
      <c r="F14" s="14">
        <v>764089092</v>
      </c>
      <c r="G14" s="15">
        <f t="shared" si="0"/>
        <v>19133.318943282833</v>
      </c>
    </row>
    <row r="15" spans="1:7" ht="14.25" customHeight="1" x14ac:dyDescent="0.2">
      <c r="A15" s="16" t="s">
        <v>90</v>
      </c>
      <c r="B15" s="17">
        <f>SUM(B5:B14)</f>
        <v>2470003</v>
      </c>
      <c r="C15" s="17">
        <f>SUM(C5:C14)</f>
        <v>43696380890</v>
      </c>
      <c r="D15" s="17">
        <f>SUM(D5:D14)</f>
        <v>4537894</v>
      </c>
      <c r="E15" s="17">
        <f>SUM(E5:E14)</f>
        <v>2546733</v>
      </c>
      <c r="F15" s="17">
        <f>SUM(F5:F14)</f>
        <v>24492657687</v>
      </c>
      <c r="G15" s="17">
        <f t="shared" si="0"/>
        <v>9916.0436999469239</v>
      </c>
    </row>
    <row r="17" spans="1:6" ht="14.25" customHeight="1" x14ac:dyDescent="0.2">
      <c r="A17" s="18" t="s">
        <v>91</v>
      </c>
    </row>
    <row r="18" spans="1:6" ht="14.25" customHeight="1" x14ac:dyDescent="0.2">
      <c r="A18" s="19" t="s">
        <v>92</v>
      </c>
    </row>
    <row r="19" spans="1:6" ht="14.25" customHeight="1" x14ac:dyDescent="0.2">
      <c r="A19" s="19" t="s">
        <v>93</v>
      </c>
    </row>
    <row r="20" spans="1:6" ht="14.25" customHeight="1" x14ac:dyDescent="0.2">
      <c r="A20" s="19" t="s">
        <v>94</v>
      </c>
    </row>
    <row r="21" spans="1:6" ht="14.25" customHeight="1" x14ac:dyDescent="0.2">
      <c r="A21" s="19" t="s">
        <v>95</v>
      </c>
    </row>
    <row r="22" spans="1:6" ht="14.25" customHeight="1" x14ac:dyDescent="0.2">
      <c r="A22" s="19" t="s">
        <v>96</v>
      </c>
    </row>
    <row r="23" spans="1:6" ht="14.25" customHeight="1" x14ac:dyDescent="0.2">
      <c r="A23" s="19" t="s">
        <v>97</v>
      </c>
      <c r="B23" s="20">
        <v>1299297</v>
      </c>
      <c r="C23" s="20">
        <v>29328871289</v>
      </c>
      <c r="D23" s="20">
        <v>509824</v>
      </c>
      <c r="E23" s="20">
        <v>253468</v>
      </c>
      <c r="F23" s="20">
        <v>4651275863</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7"/>
  <sheetViews>
    <sheetView zoomScaleNormal="100" workbookViewId="0">
      <pane ySplit="5" topLeftCell="A6" activePane="bottomLeft" state="frozen"/>
      <selection pane="bottomLeft" activeCell="E7" sqref="E7"/>
    </sheetView>
  </sheetViews>
  <sheetFormatPr baseColWidth="10" defaultColWidth="8.6640625" defaultRowHeight="15" x14ac:dyDescent="0.2"/>
  <cols>
    <col min="1" max="1" width="9" customWidth="1"/>
    <col min="2" max="2" width="12" customWidth="1"/>
    <col min="3" max="3" width="18" customWidth="1"/>
    <col min="4" max="4" width="11" customWidth="1"/>
    <col min="5" max="5" width="18" customWidth="1"/>
    <col min="6" max="6" width="12" customWidth="1"/>
    <col min="7" max="7" width="18" customWidth="1"/>
    <col min="8" max="8" width="11" customWidth="1"/>
    <col min="9" max="9" width="18" customWidth="1"/>
    <col min="11" max="11" width="13.1640625" bestFit="1" customWidth="1"/>
  </cols>
  <sheetData>
    <row r="1" spans="1:11" ht="20" x14ac:dyDescent="0.2">
      <c r="A1" s="21" t="s">
        <v>98</v>
      </c>
    </row>
    <row r="2" spans="1:11" x14ac:dyDescent="0.2">
      <c r="A2" s="22" t="s">
        <v>99</v>
      </c>
    </row>
    <row r="4" spans="1:11" x14ac:dyDescent="0.2">
      <c r="A4" s="32" t="s">
        <v>100</v>
      </c>
      <c r="B4" s="32" t="s">
        <v>101</v>
      </c>
      <c r="C4" s="32"/>
      <c r="D4" s="32"/>
      <c r="E4" s="32"/>
      <c r="F4" s="32" t="s">
        <v>102</v>
      </c>
      <c r="G4" s="32"/>
      <c r="H4" s="32"/>
      <c r="I4" s="32"/>
    </row>
    <row r="5" spans="1:11" x14ac:dyDescent="0.2">
      <c r="A5" s="32"/>
      <c r="B5" s="23" t="s">
        <v>103</v>
      </c>
      <c r="C5" s="23" t="s">
        <v>104</v>
      </c>
      <c r="D5" s="23" t="s">
        <v>77</v>
      </c>
      <c r="E5" s="23" t="s">
        <v>105</v>
      </c>
      <c r="F5" s="23" t="s">
        <v>103</v>
      </c>
      <c r="G5" s="23" t="s">
        <v>104</v>
      </c>
      <c r="H5" s="23" t="s">
        <v>77</v>
      </c>
      <c r="I5" s="23" t="s">
        <v>105</v>
      </c>
    </row>
    <row r="6" spans="1:11" x14ac:dyDescent="0.2">
      <c r="A6" s="24" t="s">
        <v>106</v>
      </c>
      <c r="B6" s="25">
        <v>2746777</v>
      </c>
      <c r="C6" s="25">
        <v>5503140587</v>
      </c>
      <c r="D6" s="25">
        <v>23966</v>
      </c>
      <c r="E6" s="25">
        <v>601482992</v>
      </c>
      <c r="F6" s="25">
        <v>21992</v>
      </c>
      <c r="G6" s="25">
        <v>751611</v>
      </c>
      <c r="H6" s="25">
        <v>53635</v>
      </c>
      <c r="I6" s="25">
        <v>1610084314</v>
      </c>
      <c r="K6" s="31">
        <f>I6+E6</f>
        <v>2211567306</v>
      </c>
    </row>
    <row r="7" spans="1:11" x14ac:dyDescent="0.2">
      <c r="A7" s="24" t="s">
        <v>107</v>
      </c>
      <c r="B7" s="25">
        <v>2924325</v>
      </c>
      <c r="C7" s="25">
        <v>5729769639</v>
      </c>
      <c r="D7" s="25">
        <v>70544</v>
      </c>
      <c r="E7" s="25">
        <v>1402694891</v>
      </c>
      <c r="F7" s="25">
        <v>364232</v>
      </c>
      <c r="G7" s="25">
        <v>180871623</v>
      </c>
      <c r="H7" s="25">
        <v>171274</v>
      </c>
      <c r="I7" s="25">
        <v>4037577467</v>
      </c>
      <c r="K7" s="31">
        <f t="shared" ref="K7:K26" si="0">I7+E7</f>
        <v>5440272358</v>
      </c>
    </row>
    <row r="8" spans="1:11" x14ac:dyDescent="0.2">
      <c r="A8" s="24" t="s">
        <v>108</v>
      </c>
      <c r="B8" s="25">
        <v>2925522</v>
      </c>
      <c r="C8" s="25">
        <v>5821805861</v>
      </c>
      <c r="D8" s="25">
        <v>85638</v>
      </c>
      <c r="E8" s="25">
        <v>1519953470</v>
      </c>
      <c r="F8" s="25">
        <v>463117</v>
      </c>
      <c r="G8" s="25">
        <v>230320024</v>
      </c>
      <c r="H8" s="25">
        <v>206339</v>
      </c>
      <c r="I8" s="25">
        <v>4293366874</v>
      </c>
      <c r="K8" s="31">
        <f t="shared" si="0"/>
        <v>5813320344</v>
      </c>
    </row>
    <row r="9" spans="1:11" x14ac:dyDescent="0.2">
      <c r="A9" s="24" t="s">
        <v>109</v>
      </c>
      <c r="B9" s="25">
        <v>3047759</v>
      </c>
      <c r="C9" s="25">
        <v>5928398062</v>
      </c>
      <c r="D9" s="25">
        <v>113846</v>
      </c>
      <c r="E9" s="25">
        <v>2151468172</v>
      </c>
      <c r="F9" s="25">
        <v>610020</v>
      </c>
      <c r="G9" s="25">
        <v>329063448</v>
      </c>
      <c r="H9" s="25">
        <v>256688</v>
      </c>
      <c r="I9" s="25">
        <v>5806828936</v>
      </c>
      <c r="K9" s="31">
        <f t="shared" si="0"/>
        <v>7958297108</v>
      </c>
    </row>
    <row r="10" spans="1:11" x14ac:dyDescent="0.2">
      <c r="A10" s="24" t="s">
        <v>110</v>
      </c>
      <c r="B10" s="25">
        <v>3076380</v>
      </c>
      <c r="C10" s="25">
        <v>5882076296</v>
      </c>
      <c r="D10" s="25">
        <v>151693</v>
      </c>
      <c r="E10" s="25">
        <v>2365535274</v>
      </c>
      <c r="F10" s="25">
        <v>785765</v>
      </c>
      <c r="G10" s="25">
        <v>416604288</v>
      </c>
      <c r="H10" s="25">
        <v>283294</v>
      </c>
      <c r="I10" s="25">
        <v>6091005210</v>
      </c>
      <c r="K10" s="31">
        <f t="shared" si="0"/>
        <v>8456540484</v>
      </c>
    </row>
    <row r="11" spans="1:11" x14ac:dyDescent="0.2">
      <c r="A11" s="24" t="s">
        <v>111</v>
      </c>
      <c r="B11" s="25">
        <v>3104015</v>
      </c>
      <c r="C11" s="25">
        <v>5875748588</v>
      </c>
      <c r="D11" s="25">
        <v>205161</v>
      </c>
      <c r="E11" s="25">
        <v>2632381198</v>
      </c>
      <c r="F11" s="25">
        <v>900939</v>
      </c>
      <c r="G11" s="25">
        <v>463233241</v>
      </c>
      <c r="H11" s="25">
        <v>316099</v>
      </c>
      <c r="I11" s="25">
        <v>6611791074</v>
      </c>
      <c r="K11" s="31">
        <f t="shared" si="0"/>
        <v>9244172272</v>
      </c>
    </row>
    <row r="12" spans="1:11" x14ac:dyDescent="0.2">
      <c r="A12" s="24" t="s">
        <v>112</v>
      </c>
      <c r="B12" s="25">
        <v>3113681</v>
      </c>
      <c r="C12" s="25">
        <v>5918081885</v>
      </c>
      <c r="D12" s="25">
        <v>230368</v>
      </c>
      <c r="E12" s="25">
        <v>3068898525</v>
      </c>
      <c r="F12" s="25">
        <v>968038</v>
      </c>
      <c r="G12" s="25">
        <v>499645421</v>
      </c>
      <c r="H12" s="25">
        <v>348269</v>
      </c>
      <c r="I12" s="25">
        <v>7521717051</v>
      </c>
      <c r="K12" s="31">
        <f t="shared" si="0"/>
        <v>10590615576</v>
      </c>
    </row>
    <row r="13" spans="1:11" x14ac:dyDescent="0.2">
      <c r="A13" s="24" t="s">
        <v>113</v>
      </c>
      <c r="B13" s="25">
        <v>3146884</v>
      </c>
      <c r="C13" s="25">
        <v>5959269667</v>
      </c>
      <c r="D13" s="25">
        <v>271755</v>
      </c>
      <c r="E13" s="25">
        <v>3245673784</v>
      </c>
      <c r="F13" s="25">
        <v>1021381</v>
      </c>
      <c r="G13" s="25">
        <v>528943275</v>
      </c>
      <c r="H13" s="25">
        <v>379416</v>
      </c>
      <c r="I13" s="25">
        <v>8089639871</v>
      </c>
      <c r="K13" s="31">
        <f t="shared" si="0"/>
        <v>11335313655</v>
      </c>
    </row>
    <row r="14" spans="1:11" x14ac:dyDescent="0.2">
      <c r="A14" s="24" t="s">
        <v>114</v>
      </c>
      <c r="B14" s="25">
        <v>3171572</v>
      </c>
      <c r="C14" s="25">
        <v>6014988655</v>
      </c>
      <c r="D14" s="25">
        <v>281884</v>
      </c>
      <c r="E14" s="25">
        <v>2863488123</v>
      </c>
      <c r="F14" s="25">
        <v>891693</v>
      </c>
      <c r="G14" s="25">
        <v>449629284</v>
      </c>
      <c r="H14" s="25">
        <v>300859</v>
      </c>
      <c r="I14" s="25">
        <v>6394966794</v>
      </c>
      <c r="K14" s="31">
        <f t="shared" si="0"/>
        <v>9258454917</v>
      </c>
    </row>
    <row r="15" spans="1:11" x14ac:dyDescent="0.2">
      <c r="A15" s="24" t="s">
        <v>115</v>
      </c>
      <c r="B15" s="25">
        <v>3184447</v>
      </c>
      <c r="C15" s="25">
        <v>6006022801</v>
      </c>
      <c r="D15" s="25">
        <v>269512</v>
      </c>
      <c r="E15" s="25">
        <v>2516632481</v>
      </c>
      <c r="F15" s="25">
        <v>931248</v>
      </c>
      <c r="G15" s="25">
        <v>470440543</v>
      </c>
      <c r="H15" s="25">
        <v>270285</v>
      </c>
      <c r="I15" s="25">
        <v>6079567007</v>
      </c>
      <c r="K15" s="31">
        <f t="shared" si="0"/>
        <v>8596199488</v>
      </c>
    </row>
    <row r="16" spans="1:11" x14ac:dyDescent="0.2">
      <c r="A16" s="24" t="s">
        <v>116</v>
      </c>
      <c r="B16" s="25">
        <v>3149868</v>
      </c>
      <c r="C16" s="25">
        <v>5815623921</v>
      </c>
      <c r="D16" s="25">
        <v>217485</v>
      </c>
      <c r="E16" s="25">
        <v>2285375981</v>
      </c>
      <c r="F16" s="25">
        <v>985010</v>
      </c>
      <c r="G16" s="25">
        <v>499161536</v>
      </c>
      <c r="H16" s="25">
        <v>246705</v>
      </c>
      <c r="I16" s="25">
        <v>5609014798</v>
      </c>
      <c r="K16" s="31">
        <f t="shared" si="0"/>
        <v>7894390779</v>
      </c>
    </row>
    <row r="17" spans="1:11" x14ac:dyDescent="0.2">
      <c r="A17" s="24" t="s">
        <v>117</v>
      </c>
      <c r="B17" s="25">
        <v>3207158</v>
      </c>
      <c r="C17" s="25">
        <v>6114916277</v>
      </c>
      <c r="D17" s="25">
        <v>192911</v>
      </c>
      <c r="E17" s="25">
        <v>1992625854</v>
      </c>
      <c r="F17" s="25">
        <v>1053212</v>
      </c>
      <c r="G17" s="25">
        <v>536702169</v>
      </c>
      <c r="H17" s="25">
        <v>234659</v>
      </c>
      <c r="I17" s="25">
        <v>5555144874</v>
      </c>
      <c r="K17" s="31">
        <f t="shared" si="0"/>
        <v>7547770728</v>
      </c>
    </row>
    <row r="18" spans="1:11" x14ac:dyDescent="0.2">
      <c r="A18" s="24" t="s">
        <v>118</v>
      </c>
      <c r="B18" s="25">
        <v>3249472</v>
      </c>
      <c r="C18" s="25">
        <v>6162363359</v>
      </c>
      <c r="D18" s="25">
        <v>194533</v>
      </c>
      <c r="E18" s="25">
        <v>1999849563</v>
      </c>
      <c r="F18" s="25">
        <v>1095596</v>
      </c>
      <c r="G18" s="25">
        <v>562308223</v>
      </c>
      <c r="H18" s="25">
        <v>231736</v>
      </c>
      <c r="I18" s="25">
        <v>5580472721</v>
      </c>
      <c r="K18" s="31">
        <f t="shared" si="0"/>
        <v>7580322284</v>
      </c>
    </row>
    <row r="19" spans="1:11" x14ac:dyDescent="0.2">
      <c r="A19" s="24" t="s">
        <v>119</v>
      </c>
      <c r="B19" s="25">
        <v>3270397</v>
      </c>
      <c r="C19" s="25">
        <v>7072168044</v>
      </c>
      <c r="D19" s="25">
        <v>197301</v>
      </c>
      <c r="E19" s="25">
        <v>2117237641</v>
      </c>
      <c r="F19" s="25">
        <v>1113366</v>
      </c>
      <c r="G19" s="25">
        <v>574328727</v>
      </c>
      <c r="H19" s="25">
        <v>225629</v>
      </c>
      <c r="I19" s="25">
        <v>5546521526</v>
      </c>
      <c r="K19" s="31">
        <f t="shared" si="0"/>
        <v>7663759167</v>
      </c>
    </row>
    <row r="20" spans="1:11" x14ac:dyDescent="0.2">
      <c r="A20" s="24" t="s">
        <v>120</v>
      </c>
      <c r="B20" s="25">
        <v>3214516</v>
      </c>
      <c r="C20" s="25">
        <v>6342576050</v>
      </c>
      <c r="D20" s="25">
        <v>478965</v>
      </c>
      <c r="E20" s="25">
        <v>1950594090</v>
      </c>
      <c r="F20" s="25">
        <v>1121100</v>
      </c>
      <c r="G20" s="25">
        <v>582322709</v>
      </c>
      <c r="H20" s="25">
        <v>224998</v>
      </c>
      <c r="I20" s="25">
        <v>5316911661</v>
      </c>
      <c r="K20" s="31">
        <f t="shared" si="0"/>
        <v>7267505751</v>
      </c>
    </row>
    <row r="21" spans="1:11" x14ac:dyDescent="0.2">
      <c r="A21" s="24" t="s">
        <v>121</v>
      </c>
      <c r="B21" s="25">
        <v>3235675</v>
      </c>
      <c r="C21" s="25">
        <v>6337074872</v>
      </c>
      <c r="D21" s="25">
        <v>640549</v>
      </c>
      <c r="E21" s="25">
        <v>1985064381</v>
      </c>
      <c r="F21" s="25">
        <v>1137928</v>
      </c>
      <c r="G21" s="25">
        <v>592548979</v>
      </c>
      <c r="H21" s="25">
        <v>237716</v>
      </c>
      <c r="I21" s="25">
        <v>5521303102</v>
      </c>
      <c r="K21" s="31">
        <f t="shared" si="0"/>
        <v>7506367483</v>
      </c>
    </row>
    <row r="22" spans="1:11" x14ac:dyDescent="0.2">
      <c r="A22" s="24" t="s">
        <v>122</v>
      </c>
      <c r="B22" s="25">
        <v>3258550</v>
      </c>
      <c r="C22" s="25">
        <v>6320431474</v>
      </c>
      <c r="D22" s="25">
        <v>647465</v>
      </c>
      <c r="E22" s="25">
        <v>2003015645</v>
      </c>
      <c r="F22" s="25">
        <v>1133935</v>
      </c>
      <c r="G22" s="25">
        <v>589638800</v>
      </c>
      <c r="H22" s="25">
        <v>232011</v>
      </c>
      <c r="I22" s="25">
        <v>5533294075</v>
      </c>
      <c r="K22" s="31">
        <f t="shared" si="0"/>
        <v>7536309720</v>
      </c>
    </row>
    <row r="23" spans="1:11" x14ac:dyDescent="0.2">
      <c r="A23" s="24" t="s">
        <v>123</v>
      </c>
      <c r="B23" s="25">
        <v>3271165</v>
      </c>
      <c r="C23" s="25">
        <v>6353949128</v>
      </c>
      <c r="D23" s="25">
        <v>676909</v>
      </c>
      <c r="E23" s="25">
        <v>2221333318</v>
      </c>
      <c r="F23" s="25">
        <v>1147493</v>
      </c>
      <c r="G23" s="25">
        <v>597666656</v>
      </c>
      <c r="H23" s="25">
        <v>259158</v>
      </c>
      <c r="I23" s="25">
        <v>6030272042</v>
      </c>
      <c r="K23" s="31">
        <f t="shared" si="0"/>
        <v>8251605360</v>
      </c>
    </row>
    <row r="24" spans="1:11" x14ac:dyDescent="0.2">
      <c r="A24" s="24" t="s">
        <v>124</v>
      </c>
      <c r="B24" s="25">
        <v>3284520</v>
      </c>
      <c r="C24" s="25">
        <v>6392897836</v>
      </c>
      <c r="D24" s="25">
        <v>745603</v>
      </c>
      <c r="E24" s="25">
        <v>2216528546</v>
      </c>
      <c r="F24" s="25">
        <v>1153822</v>
      </c>
      <c r="G24" s="25">
        <v>601818879</v>
      </c>
      <c r="H24" s="25">
        <v>253654</v>
      </c>
      <c r="I24" s="25">
        <v>5985688560</v>
      </c>
      <c r="K24" s="31">
        <f t="shared" si="0"/>
        <v>8202217106</v>
      </c>
    </row>
    <row r="25" spans="1:11" x14ac:dyDescent="0.2">
      <c r="A25" s="24" t="s">
        <v>125</v>
      </c>
      <c r="B25" s="25">
        <v>3204252</v>
      </c>
      <c r="C25" s="25">
        <v>6920927987</v>
      </c>
      <c r="D25" s="25">
        <v>1019461</v>
      </c>
      <c r="E25" s="25">
        <v>2056541433</v>
      </c>
      <c r="F25" s="25">
        <v>1131338</v>
      </c>
      <c r="G25" s="25">
        <v>591708471</v>
      </c>
      <c r="H25" s="25">
        <v>266706</v>
      </c>
      <c r="I25" s="25">
        <v>5921771944</v>
      </c>
      <c r="K25" s="31">
        <f t="shared" si="0"/>
        <v>7978313377</v>
      </c>
    </row>
    <row r="26" spans="1:11" x14ac:dyDescent="0.2">
      <c r="A26" s="24" t="s">
        <v>126</v>
      </c>
      <c r="B26" s="25">
        <v>131840</v>
      </c>
      <c r="C26" s="25">
        <v>93987571</v>
      </c>
      <c r="D26" s="25">
        <v>658580</v>
      </c>
      <c r="E26" s="25">
        <v>1161083586</v>
      </c>
      <c r="F26" s="25">
        <v>1003843</v>
      </c>
      <c r="G26" s="25">
        <v>534179378</v>
      </c>
      <c r="H26" s="25">
        <v>163790</v>
      </c>
      <c r="I26" s="25">
        <v>3313260898</v>
      </c>
      <c r="K26" s="31">
        <f t="shared" si="0"/>
        <v>4474344484</v>
      </c>
    </row>
    <row r="27" spans="1:11" x14ac:dyDescent="0.2">
      <c r="A27" s="26" t="s">
        <v>90</v>
      </c>
      <c r="B27" s="27" t="s">
        <v>127</v>
      </c>
      <c r="C27" s="28">
        <f>SUM(C6:C26)</f>
        <v>122566218560</v>
      </c>
      <c r="D27" s="28">
        <f>SUM(D6:D26)</f>
        <v>7374129</v>
      </c>
      <c r="E27" s="28">
        <f>SUM(E6:E26)</f>
        <v>44357458948</v>
      </c>
      <c r="F27" s="27" t="s">
        <v>127</v>
      </c>
      <c r="G27" s="28">
        <f>SUM(G6:G26)</f>
        <v>9831887285</v>
      </c>
      <c r="H27" s="28">
        <f>SUM(H6:H26)</f>
        <v>5162920</v>
      </c>
      <c r="I27" s="28">
        <f>SUM(I6:I26)</f>
        <v>116450200799</v>
      </c>
    </row>
    <row r="29" spans="1:11" x14ac:dyDescent="0.2">
      <c r="A29" s="29"/>
    </row>
    <row r="30" spans="1:11" x14ac:dyDescent="0.2">
      <c r="A30" s="5" t="s">
        <v>128</v>
      </c>
    </row>
    <row r="31" spans="1:11" x14ac:dyDescent="0.2">
      <c r="A31" s="30"/>
    </row>
    <row r="32" spans="1:11" x14ac:dyDescent="0.2">
      <c r="A32" s="29" t="s">
        <v>29</v>
      </c>
    </row>
    <row r="33" spans="1:1" x14ac:dyDescent="0.2">
      <c r="A33" s="30" t="s">
        <v>129</v>
      </c>
    </row>
    <row r="34" spans="1:1" x14ac:dyDescent="0.2">
      <c r="A34" s="30" t="s">
        <v>130</v>
      </c>
    </row>
    <row r="35" spans="1:1" x14ac:dyDescent="0.2">
      <c r="A35" s="30" t="s">
        <v>131</v>
      </c>
    </row>
    <row r="36" spans="1:1" x14ac:dyDescent="0.2">
      <c r="A36" s="30" t="s">
        <v>132</v>
      </c>
    </row>
    <row r="37" spans="1:1" x14ac:dyDescent="0.2">
      <c r="A37" s="30" t="s">
        <v>133</v>
      </c>
    </row>
  </sheetData>
  <mergeCells count="3">
    <mergeCell ref="A4:A5"/>
    <mergeCell ref="B4:E4"/>
    <mergeCell ref="F4:I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PHC</vt:lpstr>
      <vt:lpstr>Cover</vt:lpstr>
      <vt:lpstr>Data Request Tracker</vt:lpstr>
      <vt:lpstr>Schedule 1 - Informal Sector</vt:lpstr>
      <vt:lpstr>Schedule 1 - Formal Sector</vt:lpstr>
      <vt:lpstr>Monthly Contributions vs Claims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Maangi</cp:lastModifiedBy>
  <cp:revision>0</cp:revision>
  <dcterms:created xsi:type="dcterms:W3CDTF">2026-07-07T05:43:55Z</dcterms:created>
  <dcterms:modified xsi:type="dcterms:W3CDTF">2026-08-27T07:14:27Z</dcterms:modified>
  <dc:language>en-US</dc:language>
</cp:coreProperties>
</file>